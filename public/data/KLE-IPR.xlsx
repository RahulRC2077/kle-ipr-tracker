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LE-IP Registrations" sheetId="1" r:id="rId4"/>
    <sheet state="visible" name="Renewal-Fees" sheetId="2" r:id="rId5"/>
    <sheet state="visible" name="Legend" sheetId="3" r:id="rId6"/>
  </sheets>
  <definedNames/>
  <calcPr/>
</workbook>
</file>

<file path=xl/sharedStrings.xml><?xml version="1.0" encoding="utf-8"?>
<sst xmlns="http://schemas.openxmlformats.org/spreadsheetml/2006/main" count="308" uniqueCount="224">
  <si>
    <t>Details of Intellectual Property Rights Filed by KLE Technological University,BVBCET Campus,Vidyanagar,Hubballi – 580031,KARNATAKA,India.
KLE Tech MSME Intellectual Facilitation Cell (IPFC)</t>
  </si>
  <si>
    <t>Sl-#</t>
  </si>
  <si>
    <t>Provisional Application</t>
  </si>
  <si>
    <t>Application No</t>
  </si>
  <si>
    <t>Application Date</t>
  </si>
  <si>
    <t>Status</t>
  </si>
  <si>
    <t>Publication Date</t>
  </si>
  <si>
    <t>Patent Number</t>
  </si>
  <si>
    <t>Patent Certificate View/Download</t>
  </si>
  <si>
    <t>Grant Date</t>
  </si>
  <si>
    <t>Renewal
Date</t>
  </si>
  <si>
    <t>Invention Title</t>
  </si>
  <si>
    <t>Details of IP in Brief</t>
  </si>
  <si>
    <t>Applicant</t>
  </si>
  <si>
    <t>Main Innovator</t>
  </si>
  <si>
    <t>Other Innovators</t>
  </si>
  <si>
    <t>IP Agent</t>
  </si>
  <si>
    <t>Remarks</t>
  </si>
  <si>
    <t>2182/CHE/2015</t>
  </si>
  <si>
    <t>Granted</t>
  </si>
  <si>
    <t>Polymer Nanocomposite Coating For Tribological Applications</t>
  </si>
  <si>
    <t>Embodiments of the present invention disclose a nanocomposite coating disposed on a cutting tool tip. The nanocomposite coating includes graphene particles and molybdenum disulphide particles. The size of the particles are less than ten nanometers. The cutting tool tip is coated with the nanocomposite coating which enhances a hardness of the cutting tool tip.</t>
  </si>
  <si>
    <t>B.V. Bhoomaraddi College of Engineering and Technology</t>
  </si>
  <si>
    <t>Shankar Hallad</t>
  </si>
  <si>
    <t>4628/CHE/2015</t>
  </si>
  <si>
    <t>Nanocomposites For Cutting Tool Tip</t>
  </si>
  <si>
    <t>The present invention relates to an apparatus or device where in a ball is subject to a drying mechanism that will help in removing moisture and wetness from the ball. The drying mechanism comprises a first drying mechanism which can absorb moisture and dirt from the surface and a second drying mechanism which is enabled to vaporize the excess moisture and the wetness of the ball by subjecting heat over and around the ball. The introduction of the ball into the apparatus can be implemented by an automatic pushing means and also by manually pressing the ball into the apparatus. The first drying mechanism is placed within the enclosure and consists of an opening at one end wherein the ball can be introduced in to the body and the second opening for pulling or pushing of the ball from the enclosure.</t>
  </si>
  <si>
    <t>Mr. Shankar Hallad</t>
  </si>
  <si>
    <t>Legal Status: Ceased</t>
  </si>
  <si>
    <t>5664/CHE/2015</t>
  </si>
  <si>
    <t>Ball Drying Apparatus</t>
  </si>
  <si>
    <t>The present invention is related to an assembly line for tying more than one flower. Theassembly line has a conveyor belt that receives the flowers and transports it along the assemblyline and a tying device ties the flowers. The assembly line has a pair of hoppers that receive theflowers. A chute is present and is aligned with the hopper to channelize the 5 flowers onto theconveyor belt. There is a tying device that has a bobbin which creates knots for tying the flowers.</t>
  </si>
  <si>
    <t>B. V. Bhoomaraddi College of Engineering and Technology</t>
  </si>
  <si>
    <t>Dr. Arun Y Patil
Mr. Saurabh Bidari
Dr. N. R. Banapurmath
Dr. Ashok Shettar</t>
  </si>
  <si>
    <t>6024/CHE/2015</t>
  </si>
  <si>
    <t>Flower Tying Machine</t>
  </si>
  <si>
    <t>The present invention deals with the elemental combination of materials to form a polymer based composite that comprises potash alum (2) powder, carbon Nano Fiber along with epoxy based polymer resins or base matrix (1). Thus solving the problem such as mechanical damage when subjected to tension, compression and flexural loads resulting in interlayer delamination or low elastic modulus and ductility. Issues such non uniform dispersion of other materials when dispersed in a holding matrix, low strength to the polymer matrix. Endeavors to enhance the crystallization temperature of polymers, tensile strength along with improved Young’s modulus effect for interlaminar shear strength, fracture toughness, reduced vibration damping of the base polymer and the adequate viscosity of polymer matrix making the polymer matrix stronger. This composite provides solutions to aforementioned issues along with keeping the cost effectivity and accessibility in mind.</t>
  </si>
  <si>
    <t>Mr. Arun Y. Patil
Mr. Tajammul Hussain Mysore
Dr. Krishnaraja G. Kodancha
Dr. Prakash G. Tewari
Dr. Ashok Shettar</t>
  </si>
  <si>
    <t>A Polymer Composite.</t>
  </si>
  <si>
    <t>The present invention relates to livestock cleaning and massaging apparatus which is portable and easy to operate. The apparatus is designed such that it has a hollowed body which is capable of holding a cleaning fluid and brush heads which are attached to the bottom surface of the apparatus. When the apparatus is in operation that cleaning fluid can flow out of the cleaning fluid holes provided at the bottom surface of the apparatus. The brush head is composed of blades which have curved edges so that it can give motion to the droplets of the cleaning fluid when the brush head is rotating, and the cleaning fluid is flowing out of the cleaning fluid holes.</t>
  </si>
  <si>
    <t>Mr. Shankar A Hallad
Dr. Nagaraj R Banapurmath
Dr. Anand M Hunashyal
Dr. Ashok S Shettar
Mr. Chetan Kulkarni</t>
  </si>
  <si>
    <t>201641031477.pdf</t>
  </si>
  <si>
    <t>24-07-2024</t>
  </si>
  <si>
    <t>Portable Livestock Massager And Cleaner</t>
  </si>
  <si>
    <t>The present invention relates to nano-ceramic coating for cement composites which would increase the strength of the concrete beams and also improve the microstructure of the material thereby reducing the porosity and resulting in a high density material. The nano-ceramic coating comprises of cement and nanoparticles which in turn are composed carbon nanotubes, carbon fibers and silicon dioxide or nano-silica.</t>
  </si>
  <si>
    <t>B. V. Bhoomraddi College of Engineering &amp; Technology</t>
  </si>
  <si>
    <t>Dr. Ashok Shettar
Dr. Prakash G Tewari
Dr. Nalini C Iyer
Mr. Raghavendra M Shet
Mr. Rakesh Tigadi
Mr. Sagar Umloti
Mr. Sourabh Savadatti</t>
  </si>
  <si>
    <t>31-03-23</t>
  </si>
  <si>
    <t>Nano-Ceramic Coating For Cement Composites</t>
  </si>
  <si>
    <t>The present invention focuses on providing a technique for enhancing the heat transfer coefficient in a vehicle radiator using nanofluids with high thermal conductivity. A typical nanofluid is prepared by dispersing nano particles in the base fluid (water, ethylene glycol, coolant) with different volume concentrations. The heat transfer fluid that is being used in the present invention is a nano-coolant having molybdenum di-sulphide and a solution. The said the solution comprises of potash alum, ethanol and water.</t>
  </si>
  <si>
    <t>Mr. Shankar A. Hallad
Dr. N. R. Banapurmath
Dr. A. M. Hunashyal
Ms. Shridevi Huggeppanavar
Dr. Ashok S. Shettar</t>
  </si>
  <si>
    <t>Synthesis Of Nano Coolant</t>
  </si>
  <si>
    <t>The object of the invention is achieved by a novel method for producing ceramic membrane for exhaust gas treatment using red soil and nano particles. The red soil is placed in a steel tube which acts as nano-filtration trap for air treatment and the nano particles are dispersed in the red soil. According to one embodiment of the invention, the nano particles are of compounds Gamma-Fe2O3 and Iron Palladium.</t>
  </si>
  <si>
    <t>Mr. Shankar A. Hallad
Dr. N. R. Banapurmath
Dr. A. M Hunashyal
Mr. Akshay P. M
Dr. Ashok S. Shettar</t>
  </si>
  <si>
    <t>Ceramic Membrane Filtration</t>
  </si>
  <si>
    <t>A digital to analog converter for transforming a digital word input into an analog output comprising: a plurality of resistors placed in octagonal folded strings fashion; atleast one resistor string; atleast one memory array; atleast one decoder; atleast one XOR gate; and atleast one transmission component; wherein transmission components are placed in memory array and whereas transmission component are connected to the resistor strings, wherein decoders receive input form XOR gates and output of the decoders are connected to the transmission component, wherein resistor string has two terminals, one terminal is connected to voltage reference, and the other terminal is connected to voltage source.</t>
  </si>
  <si>
    <t>KLE Technological University</t>
  </si>
  <si>
    <t>Mr. Shankar A. Hallad
Dr. N. R. Banapurmath
Dr. A. M Hunashyal
Mr. Akshay P M
Dr. Ashok S. Shettar</t>
  </si>
  <si>
    <t>Legal Status :Under 
Extension Period</t>
  </si>
  <si>
    <t>201741016082.pdf</t>
  </si>
  <si>
    <t>30-08-2024</t>
  </si>
  <si>
    <t>Digital To Analog Converter With Octagonal Folded Resistor String Architecture</t>
  </si>
  <si>
    <t>An assistive system for speech and hearing impaired is disclosed that comprises a transmitter portion 100 adapted as a glove 300 for wearing on hand and capturing hand gestures made by user; and a receiver portion 200 configured as an App 450 with an electronic computing device that is coupled to glove 300 in wireless manner to receive data pertaining to gestures, and provide any of audio and text output of the gesture data. System enables calibrate by capturing boundary conditions by asking a new user to form a fist and an open palm. Receiver portion 200 includes a speech to text converter to convert speech by other person to written text and displays on the computing device for user to understand spoken communication from others. System enables user to store any gesture of his choice along with corresponding speech and text output for future use.</t>
  </si>
  <si>
    <t>B. V. Bhoomaraddi College of Engineering and Technology
Mr. Rakesh P. Tapaskar</t>
  </si>
  <si>
    <t>Dr. Rajashekar B. Shettar
Ms. Sneha Meti</t>
  </si>
  <si>
    <t>AE</t>
  </si>
  <si>
    <t>An Assistive System For Speech And Hearing Impaired</t>
  </si>
  <si>
    <t>A smart hybrid solar cooker suitable to be used in the all-weather conditions with various combinations of renewable energy conversion technologies embedded with IoT enabled smart features.</t>
  </si>
  <si>
    <t>Dr. Uma Mudengudi
Mr. Suresh Sourabh Alagundagi
Mr. Sandeep Patil 
Ms. Shreya Gudasalmani, 
Dr. Ashok Shettar</t>
  </si>
  <si>
    <t>Abandoned</t>
  </si>
  <si>
    <t>Smart Solar Hybrid Cooker</t>
  </si>
  <si>
    <t>Direct current backup power uninterrupted power supply system and method are provided. The system includes at least one power source corresponding to one of a primary power source and a DC secondary power source configured to supply backup electrical power to one or more electrical appliances, a power switching device configured to detect the at least one power source to connect the one more electrical appliances to the corresponding at least one Primary power source; wherein the at least one power source corresponds to one of a primary power source and a secondary power source and to enable a tuning of electrical power for a pre-defined power range associated with the corresponding one or more electrical appliances. The system also includes a power inverter device configured to convert the electrical power into 1:1 ratio equivalent AC electrical power upon detection of the at least one power supply.</t>
  </si>
  <si>
    <t>Mr. Rakesh P. Tapaskar
Dr. P. P. Revankar
Mr. M. B. Gorwar
Dr. P. G Tewari</t>
  </si>
  <si>
    <t>19-01-2024</t>
  </si>
  <si>
    <t>Direct Current Backup Power Uninterrupted Power Supply System And Method</t>
  </si>
  <si>
    <t> A system for generating a summarized video comprises a processing unit to receive a series of image frames of a video from an image sensor, extract a set of salient image frames from the series of image frames and generate the summarized video using the set of salient image frames. The extraction is performed by determining cumulative motion value of each image frame of the series of image frame, modelling the determined cumulative motion value of each image frame using a clustering technique and categorizing each image frame of the series of image frames as any of a salient image frame or a non-salient image frame using the modelled cumulative motion values of the series of image frames. Further, a neural network based classifier model is developed so that a set of image frames is extracted from a new series of image frames using the classifier model.</t>
  </si>
  <si>
    <t>Mr. Babu Ravi Chandra Shekar. Goda</t>
  </si>
  <si>
    <t>System And Method For Video Summarization</t>
  </si>
  <si>
    <t>The present invention relates to a novel hybrid Nano hybrid composite coating comprising of Polyurethane Resin (PU), Multi-Walled Carbon Nano Tube’s (MWCNT’s) and Nano Zinc Oxide (ZnO), which is used to prevent the corrosion on surface of mild steel and to enhance the mechanical properties of mild steel used in reinforce cement concrete. The present invention more particularly relates to Nano hybrid composite comprising Polyurethane Resin, 0.25 to 1% of Multi-Walled Carbon Nano Tube’s and 2 to 8% of Nano Zinc Oxide by weight of Polyurethane Resin.</t>
  </si>
  <si>
    <t>Mr. Adarsh Jamadandi, 
Dr. Uma Mudenagudi
Ms. Sujatha C
Dr. Ashok Shettar</t>
  </si>
  <si>
    <t>Multi-Walled Carbon Nano Tube’S, Nano Zinc Oxide And Polyurethane Resin Hybrid Nano Composite And Process For Preparation Thereof</t>
  </si>
  <si>
    <t>The present invention relates to a novel hybrid Nano hybrid composite coating comprising of Epoxy resin (E), Multi-Walled Carbon Nano Tube’s (MWCNT’s) and Cerium Oxide (CO), which are used to prevent the corrosion on surface of mild steel and to enhance the mechanical properties of mild steel used in reinforce cement concrete. The present invention more particularly relates to Nano hybrid composite comprising Epoxy Resin, 0.25 to 1% of Multi-Walled Carbon Nano Tube’s and 2 to 8% of Nano Cerium Oxide by weight of Epoxy Resin.</t>
  </si>
  <si>
    <t>Mr. Sandeep Vijaykumar Gujjar</t>
  </si>
  <si>
    <t>Mr. Sandeep Vijaykumar Gujjar
Dr. Anand Mahadevappa Hunashyal</t>
  </si>
  <si>
    <t>27-11-2024</t>
  </si>
  <si>
    <t>Multi-Walled Carbon Nano Tube’S, Nano Cerium Oxide And Epoxy Resin Hybrid Nano Composite And Process For Preparation Thereof</t>
  </si>
  <si>
    <t>The present invention relates to a novel hybrid Nano hybrid composite coating comprising of Resin, Multi-Walled Carbon Nano Tube’s (MWCNT’s) and Nano Oxide, which are used to prevent the corrosion on surface of mild steel and to enhance the mechanical properties of mild steel used in reinforce cement concrete. The present invention more particularly relates to Nano hybrid composite comprising Resin, 0.25 to 1% of Multi-Walled Carbon Nano Tube’s and 2 to 8% of Nano Oxide by weight of Resin.</t>
  </si>
  <si>
    <t>Mr. Sandeep Vijaykumar Gujjar
Dr.  Anand, Mahadevappa Hunashyal</t>
  </si>
  <si>
    <t>Multi-Walled Carbon Nano Tube’S, Nano Oxide And Resin Hybrid Nano Composite And Process For Preparation Thereof</t>
  </si>
  <si>
    <t> The present invention relates to a novel hybrid Nano hybrid composite coating comprising of Polyester Resin (PS), Multi-Walled Carbon Nano Tube’s (MWCNT’s) and Nano Graphene Oxide (GO), which are used to prevent the corrosion on surface of mild steel and to enhance the mechanical properties of mild steel used in reinforce cement concrete. The present invention more particularly relates to Nano hybrid composite comprising Polyester Resin, 0.25 to 1% of Multi-Walled Carbon Nano Tube’s and 2 to 8% of Nano Graphene Oxide (GO) by weight of Polyester Resin.</t>
  </si>
  <si>
    <t>RF-AAE</t>
  </si>
  <si>
    <t>Multi-Walled Carbon Nano Tube’S, Nano Graphene Oxide And Polyester Resin Hybrid Nano Composite And Process For Preparation Thereof</t>
  </si>
  <si>
    <t>Nanocomposite composition and a method of formulation thereof is disclosed, comprising a cement matrix and lead oxide nano-powder reinforced into a cement matrix. The lead 5 oxide nanoparticles are dispersed using ultrasonic energy by probe sonicating for predetermined time. Thereafter, different predefined amounts of dispersed lead oxide nanoparticles are added to water mixed cement matrix. Lastly, the final product is placed in predefined sized steel mold and thereafter, the specimens are cured to develop cement nanocomposite reinforced with the lead oxide nanoparticle.</t>
  </si>
  <si>
    <t>Mr. Sandeep Vijaykumar Gujjar
Dr. Anand, Mahadevappa Hunashyal</t>
  </si>
  <si>
    <t>Ceramic Nanocomposites For Nuclear Radiation Shielding Applications</t>
  </si>
  <si>
    <t>The present disclosure provides a walker assembly comprising: two first elongated members placed at a predetermined angle to a horizontal plane and spaced apart at a predetermined distance; two second elongated members placed at a predetermined angle to the horizontal plane, wherein each second elongated member is coupled with a corresponding first elongated member via a connecting member and a top joint; a seat frame coupled to the two first elongated members; and a scissor mechanism comprising two elongated scissor members placed diagonally with respect to one another and the scissor mechanism coupled with the two first elongated members. The walker assembly is configured to change from an expanded position to a contracted position on application of a force on the two first elongated members along the horizontal plane.</t>
  </si>
  <si>
    <t>Mr. Manoj Chandrashekar Bhat
Ms. Sahana Suresh Shetty
Dr. Ravi Guttal</t>
  </si>
  <si>
    <t>Dr. Shankar A. Hallad
Dr. Nagaraj R. Banapurmath
Dr. Anand M. Hunashyal
Dr. Ashok S. Shettar</t>
  </si>
  <si>
    <t>Legal Status :Under 
Extension Period"</t>
  </si>
  <si>
    <t>AR</t>
  </si>
  <si>
    <t>201941042017-Decision</t>
  </si>
  <si>
    <t> A Collapsible Walker</t>
  </si>
  <si>
    <t>A human-assisting apparatus (100) includes a housing (102) and an input sub-system (104) disposed on the housing (102). The input-sub-system includes at least one of a depth camera (112) adapted to detect data relating to at least one of a text and an object in the surrounding of a user, a gyro sensor (114) adapted to detect data relating to an orientation of the depth camera (112), a GPS module (116) to detect data relating to a location of the user, and a microphone (118) adapted to receive at least one command from the user. The command is associated with a predefined operation. The apparatus (100) includes a processing unit (106) adapted to receive the data from at least one of the depth camera (112), the gyro sensor (114), the GPS module (116), and the mic, and generate information for being shared with the user. The apparatus (100) includes an output sub-system (108) having at least a speaker (122) adapted to transmit the generated information to the user.</t>
  </si>
  <si>
    <t>Dr. Ashok Shettar, 
Mr. Ashutosh Kulkarni
Mr. Vineet Pavate
Mr. Vinay Melavanki
Mr. Abbunavar Zuber</t>
  </si>
  <si>
    <t>Hearing</t>
  </si>
  <si>
    <t>Human-Assisting Apparatus</t>
  </si>
  <si>
    <t>Biodegradable polymer blend films, method and process for production thereofA Biodegradable poly(vinyl alcohol) (PVA)-gelatin/polyethylene glycol-400 (PEG-400) film which prepared with various mass% of PEG-400 with respect to PVA. These films were then cross-linked using formaldehyde to enhance the barrier properties. Cross linking has immensely influenced the tensile strength and elongation at break of the films. Further it has also improved the film solubility and water barrier properties when compared to non-cross-linked films. These biodegradable films can be used in the field of packaging as a material to produce bags for daily use.</t>
  </si>
  <si>
    <t>Mr. Manoj Chandrashekar Bhat
Mr. Sahana Suresh Shetty
Mr. Ravi Guttal</t>
  </si>
  <si>
    <t>Biodegradable Polymer Blend Films, Method And Process For Production Thereof</t>
  </si>
  <si>
    <t> The present invention relates to a coating composition. More specifically, the present invention relates to a coating composition which can be applied to a surface to form a hydrophobic coating on the surface. The coating composition comprising a polysiloxane in the range of 1-99 wt.%; and polylactic acid in the range of 99-1wt.%, wherein the wt% is based on the total weight of the composition. The hydrophobic coating is suitable for packaging applications and is biodegradable and biocompatible in nature.</t>
  </si>
  <si>
    <t>Dr.Poornima G Patil
Dr. Jyoti Bali
Mr. Gireesha H M
Ms. Prabhavathi C. Nissimagoudar
Dr. S. R. Nirmala
Dr.Suvarna G Kanakaraddi
Mr. Rajeshri Rahul Itkarkar
Dr. Karuna C. Gull
Prof. Jaya Pattanshetti
Dr. Piyush Kumar Pareek</t>
  </si>
  <si>
    <t>Dr. Ashok M. Sajjan
Dr. Nagaraj R Banapurmath
Mr. Sharanappa Achappa
Dr. Ashok S Shettar</t>
  </si>
  <si>
    <t>ARFE</t>
  </si>
  <si>
    <t>A Biodegradable And Hydrophobic Coating Composition</t>
  </si>
  <si>
    <t>Development of a Screening tool for Sleep Apnea for experts in clinical setupsFIELD OF INVENTION: COMPUTER SCIENCEABSTRACTSleep apnea is a type of breathing disorder caused by interruptions in breathing or shallow breathing during night sleep. The disorder can occur in three different forms namely, Obstructive Sleep apnea (OSA), Central Sleep apnea (CSA) and Mixed Sleep apnea (MSA) among which OSA is the most prevalent. In all these three forms of sleep apnea, the interrupted breathing activity leads to the problem of oxygen deficiency leading to the development of chronic cardiac related ailments. Hence an earlier detection of sleep apnea can save patient from life risk. The Invention discloses a low-power, high–performance algorithm for sleep apnea detection based on ECG signal.</t>
  </si>
  <si>
    <t>KLE Technological University
Mr. Aditya Mahabaleshwar Deshpande
Mr. Siddamal, Saroja Virupakshappa</t>
  </si>
  <si>
    <t>Mr. Shankar A Hallad</t>
  </si>
  <si>
    <t>Development Of A Screening Tool For Sleep Apnea For Experts In Clinical Setups</t>
  </si>
  <si>
    <t>The present invention provides a Wave Energy Recovery System (WERS) (100) and method for recovering energy from water waves. The WERS comprises an energy recovery unit 101, which includes an oscillator mechanism 103 comprising a directional control valve 108 and a double acting cylinder 109, and a linear generator unit 104. The energy recovery unit 101 is integrated to an actuator 102 having a fluid and an actuator piston, wherein the actuator receives the mechanical energy from the waves, which causes the actuator piston to move and converts the fluid in the actuator into a pressurized fluid flow. The pressurized fluid flow passing through the directional control valve 108 enters into the double acting cylinder 109. The double acting cylinder 109 produces high frequency reciprocating linear motion, which is fed to the linear generator unit 104. The linear generator unit 104 converts the kinetic energy to electrical energy.</t>
  </si>
  <si>
    <t>Dr Manjunatha L H
Dr.Girish H
Mallikarjuna M S
Dr. ShivaKumar S
Dr. C Siddaraju
Dr.R.Suresh
Dr. Vijaya kumar Nimbagal
Dr. Suresh P M
Dr.Rekha PM
Dr Hemanth Kumar T R.
Dr. T Venkategowda,
Dr P Mahadevaswamy
Dr.K.R.Dinesh
Dr. Pravin R. Kshirsagar</t>
  </si>
  <si>
    <t>Dr. Poornima G Patil
Dr. Jyoti Bali
Mr. Gireesha H M
Mr. Prabhavathi C. Nissimagoudar
Dr. S. R. Nirmala
Dr.Suvarna G Kanakaraddi
Mr. Rajeshri Rahul Itkarkar
Dr. Karuna C. Gull
Prof. Jaya Pattanshetti
Dr. Piyush Kumar Pareek</t>
  </si>
  <si>
    <t>A System, Apparatus, And Method For Harnessing Energy From Water Waves</t>
  </si>
  <si>
    <t>IOT BASED SYSTEM FOR DETECTION OF BRAIN CANCER IN THE HUMAN BODYThe brain has billions of cells and is one of the most complicated organs in the human body. An unregulated, abnormal cell development causes a brain tumor that interferes with normal activity and kills healthy tissue. The significance of brain processes made it essential for medical activity not to be quantified accurately. Computer vision is currently highly essential in the field of medicine, as it allows professionals to diagnose exactly and make the appropriate decisions before surgery. This invention has used Internet of Things technology (IoT) to help the brain medical expert recognize the necessity to perform operations on pictures of magnetic resonance imaging (MRI). Adaboost classifier is utilized for brain tumor detection and morphological picture segmentation of MRIs. The Adaboost Classifier on the IoT Thingspeak platform helps brain specialists diagnose MRI pictures received online.</t>
  </si>
  <si>
    <t>Ms. Sushma Devaramani
Dr. Anilkumar V Nandi
Dr. Jyoti Bali
Mr. Doddabasappa Marebal
Mr. Shridhar Doddamani
Mr. Girish Karikatti
Ms Channavva. B. Kolanur
Dr. Sachin Karadgi
Dr. Vinodkumar Meti
Mr. Amit Talli
Mr. Nagaraj Benakanahalli
Dr. Piyush Kumar Pareek</t>
  </si>
  <si>
    <t>Mr. Aditya Mahabaleshwar Deshpande
Mr. Saroja Virupakshappa Siddamal</t>
  </si>
  <si>
    <t>An Iot Based System For Detection Of Brain Cancer In The Human Body</t>
  </si>
  <si>
    <t>Invention picks a polymeric material that's best suited for the fabric for the particular printing procedure. Several materials are being explored and tested on the thin polyester fabric substrate. The polyester printer uses an XY plotting mechanism to demonstrate the printing methodology.</t>
  </si>
  <si>
    <t>Ms. Sushma Devaramani
Dr. Anilkumar V Nandi
Dr. Jyoti Bali
Mr. Doddabasappa Marebal
Mr. Shridhar Doddamani
Mr. Girish Karikatti
Mr. Channavva. B. Kolanur
Dr. Sachin Karadgi
Dr. Vinodkumar Meti
Mr. Amit Talli
Nagaraj Benakanahalli
Dr. Piyush Kumar Pareek</t>
  </si>
  <si>
    <t>Dr. Manjunatha L H
Dr. Girish H
Mr. Mallikarjuna M S
Dr. ShivaKumar S
Dr. C Siddaraju
Dr. R.Suresh
Mr. Vijaya kumar 
Dr. Suresh P M
Dr. Rekha PM
Dr Hemanth Kumar T R.
Dr. T Venkategowda,
Dr. P Mahadevaswamy
Dr. K.R.Dinesh
Dr. Pravin R. Kshirsagar</t>
  </si>
  <si>
    <t>Novel Approach For 3D Printing</t>
  </si>
  <si>
    <t>The two most widely employed technologies today are embossing and screen printing, which gives clothing designs a raised appearance. 2D printing was 175 required by a textile industry that is using ink jet printing technology to implement on polyester fabric. The reason for developing the process was to automate thecurrent process and add 3D printing to the existing design methods. In an attempt to make this process more dehumanising, 3D printing technology has been used.180</t>
  </si>
  <si>
    <t>Ms. Sushma Devaramani
Dr. Anilkumar V Nandi
Dr. Jyoti Bali
Mr. Doddabasappa Marebal
Mr. Shridhar Doddamani
Girish Karikatti
Channavva. B. Kolanur
Dr. Sachin Karadgi
Dr. Vinodkumar Meti
Amit Talli
Nagaraj Benakanahalli
Dr. Piyush Kumar Pareek</t>
  </si>
  <si>
    <t xml:space="preserve">Reliable 3D Printing System Using Iot And Methods Thereof
</t>
  </si>
  <si>
    <t>The present invention provides a honey harvesting device (100) that facilitates collection of honey without severely harming the beehive or the honeybees or the larvae. The device includes an artificial beehive (101) including a honey collection chamber (102). The artificial beehive (101) contains several individual sections called building blocks, wherein each individual building block contains two parts, namely a stationary part (L), and a moving functional part (M), which when attached together in a snap-fit manner form a continuous chain of cells of the beehive. A honey collection handle (103) including a handling means (103a), and a circular disc (104) detachably attached together, provided to be horizontally pushed until the end of the honey collection chamber in a forward manner to misalign the cells and extract the honey, and then the handle is horizontally retracted to bring the cells back to the originally aligned form.</t>
  </si>
  <si>
    <t>Ms. D.Kayathri Devi
Dr. Narayan swamy
Dr. M. Prakash
Dr.S.Soundararajan
Dr.P.John Augustine
Dr. R Ramesh
Dr. Janhavi Rajendda Raut
Mr. G Divakara Reddy</t>
  </si>
  <si>
    <t>Ms. Sushma Devaramani
Dr. Anilkumar V Nandi
Dr. Jyoti Bali
Mr. Doddabasappa Marebal
Mr. Shridhar Doddamani
Mr. Girish Karikatti
Mr. Channavva. B. Kolanur
Dr. Sachin Karadgi
Dr. Vinodkumar Meti
Amit Talli
Nagaraj Benakanahalli
Dr. Piyush Kumar Pareek</t>
  </si>
  <si>
    <t>Non-Invasive And Non-Intrusive Honey Harvesting Device</t>
  </si>
  <si>
    <t>Artificial intelligence-based cyber security systems, such as neural networks that monitor the security of a computer network and take automatic corrective action in response to the monitoring, are becoming more common. The security system learns behavior profiles, attack profiles, and circumvention strategies utilized to target the network autonomously. This involves isolating and monitoring any abuse that has been found, studying the misbehavior's behavior profile, and changing the network to improve overall security.</t>
  </si>
  <si>
    <t>Prof. (Dr.) Rahul Kumar Mishra
Dr.R.Balakrishna
Dr. Shantanu Pandurang Kanade
Dr. Narayan swamy
Dr. Anuradha Shantanu Kanade
Dr. Madhulika Mishra
Dr. N Ramkumar
Mrs. G.Aparna
Mr. Mohd Anas Wajid
Mr.Aabhas Mathur
Mr.Raja Raju
Dr.Reshma V.K</t>
  </si>
  <si>
    <t xml:space="preserve">Mr. Ramesh siddalingaswami Sarangamath
DR. Ravi Chudamani Guttal
Mr. Rakesh Suresh Pat
Mr. Jagadish Chandrashekhar Pattar
Mr. Prakashgouda Hanamantgouda 
</t>
  </si>
  <si>
    <t>Detection Of Cyber Security Threats Using Ai</t>
  </si>
  <si>
    <t>This method tests an algorithm for spontaneously detecting cataracts in adult humans using colour images taken from various angles. Because fundus cameras and Digital Single-Lens Reflex (DSLR) cameras are currently the only ways to detect cataracts, they are prohibitively expensive. As a result of this research, we hope to create a cheap, reliable, and simple-to-use algorithm that can tell if someone has cataracts by looking at true colour images of their eyes. There is a method for screening for cataracts based on texture, and it takes three texture characteristics into account: uniformity, intensity, and standard deviation. The expert first determines the threshold through calculations and mapping with diagnostic opinions. The system is then put through its paces on real people in an eye clinic.</t>
  </si>
  <si>
    <t>Dr. Kayathri Devi
Dr. Narayan swamy
Dr. M. Prakash
Dr. S.Soundararajan
Dr. P.John Augustine
Dr. R Ramesh
Dr. Janhavi Rajendda Raut
Mr. G Divakara Reddy</t>
  </si>
  <si>
    <t>Iot With Deep Learning Based Automatic Eye Cataract Detection Using Matlab Approach</t>
  </si>
  <si>
    <t>Dr. Rajesh Kanna M.R.
Ms. Roopa S
Dr. S. Indrakumar
Dr .Narayan Swamy
Mr. Irbasappa Walikar
Ms. Sudharani R
Dr. N. Pothanna
Dr. Manimekalai S
Dr. Mahesh Sahebrao Wavare
Dr. Renuka Kolandasamy
Ms. Matam Santoshi Kumari
Mr. Utpal Saikia</t>
  </si>
  <si>
    <t>Prof. (Dr.)Rahul Kumar Mishra
Dr.R.Balakrishna
Dr. Shantanu Pandurang Kanade
Dr. Narayan swamy
Dr. Anuradha Shantanu Kanade
Dr. Madhulika Mishra
Dr. N Ramkumar
Mrs. G.Aparna
Mr. Mohd Anas Wajid
Mr.Aabhas Mathur
Mr.Raja Raju
Dr.Reshma V.K</t>
  </si>
  <si>
    <t> System For Attention-Based Decomposition Of 3D Point Clouds</t>
  </si>
  <si>
    <t>Efficient image smoothing and parallel structure design using five directional partial derivatives Abstract: The smoothing of images has been put to use in the processes of picture segmentation, image reconstruction, object categorization, and the production of 3D content. During the pre-processing phase, several different smoothing techniques were utilised in order to preserve the essential edge while simultaneously reducing noise and fine details. However, their performance is restricted, particularly when it comes to the elimination of minute details and the smoothing of discrete regions. As a result, in order to provide smoothing that is both quick and precise, we have proposed an efficient method that makes use of a weighted mixture of the gradient, Laplacian, and diagonal derivatives of an image that has already been smoothed. In addition, we created and implemented a parallel processing structure for the suggested technique using a graphics processing unit in order to lessen the amount of computational complexity that was involved (GPU). The images were linearly quantized into several layers to generate experimental images, and then the quantized images were smoothed using several methods for reconstructing the smoothly changed shape and intensity of the original image. The purpose of this was to perform an objective evaluation of the performance of the smoothing technique. The results of the experiments shown that the suggested method achieves higher objective scores and more successful smoothing performance than other schemes of a similar nature, while simultaneously conserving and omitting, respectively, crucial and inconsequential features. The proposed smoothing scheme that was run on a GPU had a computational complexity that was 18 and 16 times lower than that of the L0-based smoothing scheme, respectively. This was compared to the complexity of the proposed smoothing scheme that was performed on a CPU. In addition, a straightforward noise reduction test was carried out to demonstrate the qualities of the suggested method. The results showed that the presented algorithm surpasses the methods that are considered to be state of the art by a margin of more than 5.4 decibels. As a result, we have reason to believe that the proposed approach has the potential to be an effective tool for image smoothing.</t>
  </si>
  <si>
    <t>Mr. Siddharth Gangadhar Katageri
Mr. Shashidar Kudari
Mr. Akshaykumar Gunari
Mr. Ramesh Ashok Tabib
Dr. Uma Mudenagudi</t>
  </si>
  <si>
    <t>Efficient Image Smoothing And Parallel Structure Design Using Five Directional Partial Derivatives</t>
  </si>
  <si>
    <t>The present invention provides a composite formulation including sheep horn and a polymer resin for a Frame of an unmanned aerial vehicle (UAV). The composite formulation includes 20 to 50% by weight of a sheep horn powder, and 50 to 80% of a polymer resin, wherein the solidified composite formulation possesses balanced Young’s modulus with improved physical and mechanical property requirements of the UAVs such as ultimate stress, maximum strain, ultimate strength, and density. The composite formulation has a Young’s Modulus of 650 MPa to 850 MPa; an Ultimate Stress value of 650 MPa to 1150 MPa; an Ultimate Tensile Load value of 500 N to 850 N; a Flexural Modulus value of 0.30 MPa to 2.0 MPa; an Ultimate Flexural load value of 19 N to 86 N.</t>
  </si>
  <si>
    <t>Ms. Roopa AK
Dr. Anand M Hunashyal</t>
  </si>
  <si>
    <t>Uav Components Made From A Composite Comprising Sheep Horn Powder And Polymer Resin</t>
  </si>
  <si>
    <t>Implementation of IoT System Using Smart Cement Nano Composite Sensor for SHM application ABSTRACTEmbodiments of the present invention disclose the IoT system using cement based nano composite sensor to detect the damage and formation crack in structure. NodeMCU and Aurdion IDE successfully measures the variation in electrical resistance using cement based nano composite sensors under increasing in the loads and triggers threshold value of resistance for formation of cracks. Cloud based BLYNK platform have potential to alert the user by sending the Message/Mail for necessary actions to be taken to prevent further damages.</t>
  </si>
  <si>
    <t>Dr. Arun Yallappagouda Patil
Mr. Anirudh Kohli
Mr. Sanket Disale
Basavarj B. Kotturshettar</t>
  </si>
  <si>
    <t xml:space="preserve"> Implementation Of Iot System Using Smart Cement Nano Composite Sensor For Shm Application
</t>
  </si>
  <si>
    <t>NOVEL POLYMER GEL ELECTROLYTE WITH NANOPARTICLES FOR LEAD STORAGE BATTERIESA poly(vinyl alcohol)(PVA) based novel hybrid polymer gel electrolyte for use in lead storage batteries and a method of its preparation is disclosed. The novel hybrid polymer gel electrolyte is prepared by adding tetraethylorthosilicate (TEOS) to a matrix of Polyvinyl alcohol (PVA) with sulphuric acid to form a hybrid polymer matrix and adding TiO2 into the said matrix to form the polymer gel electrolyte of the present invention. The novel polymer gel electrolyte according to the present invention exhibits excellent electrical performance of the battery including high anodic peak current, low solution resistance, low charge transfer resistance, low retention of capacitance and good coulombic efficiency, while also being easy to fabricate, low maintenance and safe handling with no leakage of corrosive acid.</t>
  </si>
  <si>
    <t>Novel Polymer Gel Electrolyte For Lead Storage Batteries</t>
  </si>
  <si>
    <t>Facilesynthesis Of Hyperbranched One Component Polyaspartic Polyurea Coating,The invention provides a method for synthesis of hyperbranched one component polyaspartic polyurea coating of formula (III).The method includes reacting a polyol with an acid anhydride to synthesize an acid terminated monomer. The acid terminated monomer undergoes polycondensation with an alcohol and an acrylate to obtain a hyperbranched polymer.The hyperbranched polymer is then reacted with a polyamine to obtain a hyperbranched polyaspartic resin and the hyperbranched polyaspartic resin is then reacted with a polyisocyanate to form the hyperbranched one component polyaspartic polyurea coating.</t>
  </si>
  <si>
    <t xml:space="preserve">Dr. Ashok M Sajjan
Dr. Nagaraj R Banapurmath
Mr.BipinS. Chikkatti 
Mr. Prakash B. Kalahal </t>
  </si>
  <si>
    <t>Hybrid Polymer Gel Electrolyte With Nanoparticles For Lead Storage Batteries</t>
  </si>
  <si>
    <t>Facile Synthesis Of Hyperbranched One Component Polyaspartic Polyurea Coating</t>
  </si>
  <si>
    <t>Dr. Rajnish Kumar  
Prof. Tejraj 
Mr. Aminabhavi</t>
  </si>
  <si>
    <t>ACS</t>
  </si>
  <si>
    <t>A Method For Enhancing The Strength Of Natural Fibres</t>
  </si>
  <si>
    <t>An Alloy Using Coconut Coir Fiber For</t>
  </si>
  <si>
    <t>Dr. N R Bhanapurmath
Dr. Ashok Sajjan</t>
  </si>
  <si>
    <t>6321/CHE/2015</t>
  </si>
  <si>
    <t>A System To Determine Solar Irradiation</t>
  </si>
  <si>
    <t>Filed</t>
  </si>
  <si>
    <t>Smart Hybrid Damper For Concrete Structures In Beam Column Junction To Dissipate Critical Energy</t>
  </si>
  <si>
    <t>Nanohybrid nanocomposite stiffener for concrete structures in optimizing steel</t>
  </si>
  <si>
    <t>Auxiliary Brake System</t>
  </si>
  <si>
    <t>Method, Apparatus And System For Analysing A Fabric Using Trained Artificial Intelligence Models</t>
  </si>
  <si>
    <t>Application#</t>
  </si>
  <si>
    <t>Status of Intellectual Property Rights renewals by KLE Technological University fees paid Year wise.</t>
  </si>
  <si>
    <t>3rd</t>
  </si>
  <si>
    <t>4th</t>
  </si>
  <si>
    <t>5th</t>
  </si>
  <si>
    <t>6th</t>
  </si>
  <si>
    <t>7th</t>
  </si>
  <si>
    <t>8th</t>
  </si>
  <si>
    <t>9th</t>
  </si>
  <si>
    <t>10th</t>
  </si>
  <si>
    <t>11th</t>
  </si>
  <si>
    <t>12th</t>
  </si>
  <si>
    <t>13th</t>
  </si>
  <si>
    <t>14th</t>
  </si>
  <si>
    <t>15th</t>
  </si>
  <si>
    <t>16th</t>
  </si>
  <si>
    <t>17th</t>
  </si>
  <si>
    <t>18th</t>
  </si>
  <si>
    <t>19th</t>
  </si>
  <si>
    <t>20th</t>
  </si>
  <si>
    <t>Grand
Total</t>
  </si>
  <si>
    <t>Renewal
Due</t>
  </si>
  <si>
    <t>Total Number of Renewals</t>
  </si>
  <si>
    <t>Total Amount Paid</t>
  </si>
  <si>
    <t>Acronym</t>
  </si>
  <si>
    <t>Abbreviation</t>
  </si>
  <si>
    <t>Applied</t>
  </si>
  <si>
    <t>Application for IPR</t>
  </si>
  <si>
    <t>FER</t>
  </si>
  <si>
    <t>First Examination Report</t>
  </si>
  <si>
    <t>Protected creators mind</t>
  </si>
  <si>
    <t>RFE</t>
  </si>
  <si>
    <t>Request for Examination</t>
  </si>
  <si>
    <t>Post-Grant Prosecution Stage,hearing notice to both the parties and decides whether the patent can be maintained, revoked, or amended.</t>
  </si>
  <si>
    <t>Creative mind Filed</t>
  </si>
  <si>
    <t>Abandoned U/s 21(1) In the process of trademark registration means, you did not either file reply to the examination report/ attended show cause hearing for the Trademark Objection or during opposition, you did not file Counter Statement</t>
  </si>
  <si>
    <t>FER-RNF</t>
  </si>
  <si>
    <t>FER Issued, Reply not Filed</t>
  </si>
  <si>
    <t>Application Refused U/S 15</t>
  </si>
  <si>
    <t>Awaiting Request for Examination</t>
  </si>
  <si>
    <t>Reply Filed. Application in amended examination</t>
  </si>
  <si>
    <t>Application referred u/s 12 for examination.</t>
  </si>
  <si>
    <t>Awaiting Complete Specification</t>
  </si>
  <si>
    <t>Number of Patents published/granted during the last three years</t>
  </si>
  <si>
    <t>2021-22-23 (PG+PP)</t>
  </si>
  <si>
    <t>2020-21-22 (PG+PP)</t>
  </si>
  <si>
    <t>Calendar Year</t>
  </si>
  <si>
    <t>No. of Patents Published</t>
  </si>
  <si>
    <t>No. of Patents Granted</t>
  </si>
  <si>
    <t>Legend : PG=Patent Granted, PP=Patent Published.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</si>
</sst>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quot;-&quot;mmm&quot;-&quot;yy"/>
    <numFmt numFmtId="165" formatCode="[$-14009]dd/mm/yyyy"/>
    <numFmt numFmtId="166" formatCode="dd-mmm-yy"/>
    <numFmt numFmtId="167" formatCode="d-mmm-yy"/>
    <numFmt numFmtId="168" formatCode="d-mmmm-yy"/>
  </numFmts>
  <fonts count="29">
    <font>
      <sz val="11.0"/>
      <color theme="1"/>
      <name val="Calibri"/>
      <scheme val="minor"/>
    </font>
    <font>
      <b/>
      <sz val="14.0"/>
      <color rgb="FFFFFFFF"/>
      <name val="Tahoma"/>
    </font>
    <font/>
    <font>
      <b/>
      <sz val="10.0"/>
      <color theme="1"/>
      <name val="Tahoma"/>
    </font>
    <font>
      <u/>
      <sz val="10.0"/>
      <color rgb="FF0000FF"/>
      <name val="Tahoma"/>
    </font>
    <font>
      <sz val="10.0"/>
      <color theme="1"/>
      <name val="Tahoma"/>
    </font>
    <font>
      <u/>
      <sz val="10.0"/>
      <color rgb="FF0000FF"/>
      <name val="Tahoma"/>
    </font>
    <font>
      <u/>
      <sz val="10.0"/>
      <color rgb="FF0000FF"/>
      <name val="Tahoma"/>
    </font>
    <font>
      <u/>
      <sz val="10.0"/>
      <color rgb="FF0000FF"/>
      <name val="Tahoma"/>
    </font>
    <font>
      <u/>
      <sz val="10.0"/>
      <color rgb="FF0000FF"/>
      <name val="Tahoma"/>
    </font>
    <font>
      <sz val="10.0"/>
      <color rgb="FF1A1A1A"/>
      <name val="Tahoma"/>
    </font>
    <font>
      <b/>
      <sz val="10.0"/>
      <color rgb="FFFF0000"/>
      <name val="Tahoma"/>
    </font>
    <font>
      <u/>
      <sz val="10.0"/>
      <color rgb="FF0000FF"/>
      <name val="Tahoma"/>
    </font>
    <font>
      <u/>
      <sz val="10.0"/>
      <color rgb="FF0000FF"/>
      <name val="Tahoma"/>
    </font>
    <font>
      <sz val="10.0"/>
      <color rgb="FF0000FF"/>
      <name val="Tahoma"/>
    </font>
    <font>
      <u/>
      <sz val="10.0"/>
      <color rgb="FF0000FF"/>
      <name val="Tahoma"/>
    </font>
    <font>
      <u/>
      <sz val="10.0"/>
      <color rgb="FF0563C1"/>
      <name val="Tahoma"/>
    </font>
    <font>
      <u/>
      <sz val="10.0"/>
      <color rgb="FF0000FF"/>
      <name val="Tahoma"/>
    </font>
    <font>
      <color theme="1"/>
      <name val="Calibri"/>
      <scheme val="minor"/>
    </font>
    <font>
      <b/>
      <sz val="10.0"/>
      <color rgb="FFFFFFFF"/>
      <name val="Tahoma"/>
    </font>
    <font>
      <b/>
      <color theme="1"/>
      <name val="Calibri"/>
      <scheme val="minor"/>
    </font>
    <font>
      <sz val="10.0"/>
      <color rgb="FF000000"/>
      <name val="Tahoma"/>
    </font>
    <font>
      <b/>
      <sz val="10.0"/>
      <color rgb="FF000000"/>
      <name val="Tahoma"/>
    </font>
    <font>
      <b/>
      <sz val="12.0"/>
      <color rgb="FF0000FF"/>
      <name val="Tahoma"/>
    </font>
    <font>
      <b/>
      <color rgb="FF000000"/>
      <name val="Tahoma"/>
    </font>
    <font>
      <sz val="11.0"/>
      <color rgb="FF000000"/>
      <name val="Tahoma"/>
    </font>
    <font>
      <sz val="20.0"/>
      <color rgb="FF000000"/>
      <name val="Tahoma"/>
    </font>
    <font>
      <sz val="24.0"/>
      <color rgb="FF000000"/>
      <name val="Tahoma"/>
    </font>
    <font>
      <color rgb="FF000000"/>
      <name val="Tahoma"/>
    </font>
  </fonts>
  <fills count="7">
    <fill>
      <patternFill patternType="none"/>
    </fill>
    <fill>
      <patternFill patternType="lightGray"/>
    </fill>
    <fill>
      <patternFill patternType="solid">
        <fgColor rgb="FF674EA7"/>
        <bgColor rgb="FF674EA7"/>
      </patternFill>
    </fill>
    <fill>
      <patternFill patternType="solid">
        <fgColor rgb="FFB4A7D6"/>
        <bgColor rgb="FFB4A7D6"/>
      </patternFill>
    </fill>
    <fill>
      <patternFill patternType="solid">
        <fgColor rgb="FF0000FF"/>
        <bgColor rgb="FF0000FF"/>
      </patternFill>
    </fill>
    <fill>
      <patternFill patternType="solid">
        <fgColor rgb="FFE2EFDA"/>
        <bgColor rgb="FFE2EFDA"/>
      </patternFill>
    </fill>
    <fill>
      <patternFill patternType="solid">
        <fgColor rgb="FFB4C6E7"/>
        <bgColor rgb="FFB4C6E7"/>
      </patternFill>
    </fill>
  </fills>
  <borders count="17">
    <border/>
    <border>
      <left style="thick">
        <color rgb="FF0000FF"/>
      </left>
      <top style="thick">
        <color rgb="FF0000FF"/>
      </top>
      <bottom style="thick">
        <color rgb="FF0000FF"/>
      </bottom>
    </border>
    <border>
      <top style="thick">
        <color rgb="FF0000FF"/>
      </top>
      <bottom style="thick">
        <color rgb="FF0000FF"/>
      </bottom>
    </border>
    <border>
      <right style="thick">
        <color rgb="FF0000FF"/>
      </right>
      <top style="thick">
        <color rgb="FF0000FF"/>
      </top>
      <bottom style="thick">
        <color rgb="FF0000FF"/>
      </bottom>
    </border>
    <border>
      <left style="thick">
        <color rgb="FF0000FF"/>
      </left>
      <right style="thick">
        <color rgb="FF0000FF"/>
      </right>
      <top style="thick">
        <color rgb="FF0000FF"/>
      </top>
      <bottom style="thick">
        <color rgb="FF0000FF"/>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right style="thin">
        <color rgb="FF000000"/>
      </right>
      <bottom style="thin">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horizontal="center" readingOrder="0" shrinkToFit="0" vertical="center" wrapText="1"/>
    </xf>
    <xf borderId="4" fillId="3" fontId="3" numFmtId="0" xfId="0" applyAlignment="1" applyBorder="1" applyFont="1">
      <alignment horizontal="center" shrinkToFit="0" vertical="center" wrapText="1"/>
    </xf>
    <xf borderId="5" fillId="0" fontId="4" numFmtId="0" xfId="0" applyAlignment="1" applyBorder="1" applyFont="1">
      <alignment horizontal="center" readingOrder="0" vertical="center"/>
    </xf>
    <xf borderId="5" fillId="0" fontId="5" numFmtId="1" xfId="0" applyAlignment="1" applyBorder="1" applyFont="1" applyNumberFormat="1">
      <alignment horizontal="center" vertical="center"/>
    </xf>
    <xf borderId="5" fillId="0" fontId="6" numFmtId="12" xfId="0" applyAlignment="1" applyBorder="1" applyFont="1" applyNumberFormat="1">
      <alignment horizontal="center" readingOrder="0" vertical="center"/>
    </xf>
    <xf borderId="5" fillId="0" fontId="5" numFmtId="164" xfId="0" applyAlignment="1" applyBorder="1" applyFont="1" applyNumberFormat="1">
      <alignment horizontal="center" readingOrder="0" vertical="center"/>
    </xf>
    <xf borderId="5" fillId="0" fontId="5" numFmtId="0" xfId="0" applyAlignment="1" applyBorder="1" applyFont="1">
      <alignment horizontal="center" readingOrder="0" vertical="center"/>
    </xf>
    <xf borderId="5" fillId="0" fontId="5" numFmtId="12" xfId="0" applyAlignment="1" applyBorder="1" applyFont="1" applyNumberFormat="1">
      <alignment horizontal="center" readingOrder="0" vertical="center"/>
    </xf>
    <xf borderId="5" fillId="0" fontId="7" numFmtId="0" xfId="0" applyAlignment="1" applyBorder="1" applyFont="1">
      <alignment horizontal="center" readingOrder="0" vertical="center"/>
    </xf>
    <xf borderId="5" fillId="0" fontId="5" numFmtId="164" xfId="0" applyAlignment="1" applyBorder="1" applyFont="1" applyNumberFormat="1">
      <alignment horizontal="left" readingOrder="0" vertical="center"/>
    </xf>
    <xf borderId="6" fillId="0" fontId="5" numFmtId="164" xfId="0" applyAlignment="1" applyBorder="1" applyFont="1" applyNumberFormat="1">
      <alignment horizontal="center" readingOrder="0" vertical="center"/>
    </xf>
    <xf borderId="5" fillId="0" fontId="5" numFmtId="0" xfId="0" applyAlignment="1" applyBorder="1" applyFont="1">
      <alignment horizontal="left" readingOrder="0" shrinkToFit="0" vertical="top" wrapText="1"/>
    </xf>
    <xf borderId="5" fillId="0" fontId="5" numFmtId="12" xfId="0" applyAlignment="1" applyBorder="1" applyFont="1" applyNumberFormat="1">
      <alignment horizontal="left" readingOrder="0" shrinkToFit="0" vertical="top" wrapText="1"/>
    </xf>
    <xf borderId="5" fillId="0" fontId="5" numFmtId="12" xfId="0" applyAlignment="1" applyBorder="1" applyFont="1" applyNumberFormat="1">
      <alignment horizontal="left" readingOrder="0" vertical="top"/>
    </xf>
    <xf borderId="5" fillId="0" fontId="5" numFmtId="0" xfId="0" applyBorder="1" applyFont="1"/>
    <xf borderId="6" fillId="0" fontId="8" numFmtId="0" xfId="0" applyAlignment="1" applyBorder="1" applyFont="1">
      <alignment horizontal="center" readingOrder="0" vertical="center"/>
    </xf>
    <xf borderId="6" fillId="0" fontId="5" numFmtId="1" xfId="0" applyAlignment="1" applyBorder="1" applyFont="1" applyNumberFormat="1">
      <alignment horizontal="center" vertical="center"/>
    </xf>
    <xf borderId="6" fillId="0" fontId="9" numFmtId="12" xfId="0" applyAlignment="1" applyBorder="1" applyFont="1" applyNumberFormat="1">
      <alignment horizontal="center" readingOrder="0" vertical="center"/>
    </xf>
    <xf borderId="6" fillId="0" fontId="10" numFmtId="164" xfId="0" applyAlignment="1" applyBorder="1" applyFont="1" applyNumberFormat="1">
      <alignment horizontal="center" readingOrder="0" vertical="center"/>
    </xf>
    <xf borderId="6" fillId="0" fontId="5" numFmtId="0" xfId="0" applyAlignment="1" applyBorder="1" applyFont="1">
      <alignment horizontal="center" readingOrder="0" vertical="center"/>
    </xf>
    <xf borderId="6" fillId="0" fontId="11" numFmtId="12" xfId="0" applyAlignment="1" applyBorder="1" applyFont="1" applyNumberFormat="1">
      <alignment horizontal="center" readingOrder="0" vertical="center"/>
    </xf>
    <xf borderId="6" fillId="0" fontId="12" numFmtId="0" xfId="0" applyAlignment="1" applyBorder="1" applyFont="1">
      <alignment horizontal="center" readingOrder="0" vertical="center"/>
    </xf>
    <xf borderId="6" fillId="0" fontId="5" numFmtId="164" xfId="0" applyAlignment="1" applyBorder="1" applyFont="1" applyNumberFormat="1">
      <alignment horizontal="left" readingOrder="0" vertical="center"/>
    </xf>
    <xf borderId="6" fillId="0" fontId="5" numFmtId="0" xfId="0" applyAlignment="1" applyBorder="1" applyFont="1">
      <alignment horizontal="left" readingOrder="0" shrinkToFit="0" vertical="top" wrapText="1"/>
    </xf>
    <xf borderId="6" fillId="0" fontId="5" numFmtId="12" xfId="0" applyAlignment="1" applyBorder="1" applyFont="1" applyNumberFormat="1">
      <alignment horizontal="left" readingOrder="0" shrinkToFit="0" vertical="top" wrapText="1"/>
    </xf>
    <xf borderId="6" fillId="0" fontId="5" numFmtId="12" xfId="0" applyAlignment="1" applyBorder="1" applyFont="1" applyNumberFormat="1">
      <alignment horizontal="left" readingOrder="0" vertical="top"/>
    </xf>
    <xf borderId="6" fillId="0" fontId="5" numFmtId="0" xfId="0" applyAlignment="1" applyBorder="1" applyFont="1">
      <alignment vertical="top"/>
    </xf>
    <xf borderId="6" fillId="0" fontId="5" numFmtId="0" xfId="0" applyAlignment="1" applyBorder="1" applyFont="1">
      <alignment readingOrder="0" vertical="top"/>
    </xf>
    <xf borderId="6" fillId="0" fontId="11" numFmtId="0" xfId="0" applyAlignment="1" applyBorder="1" applyFont="1">
      <alignment horizontal="center" readingOrder="0" vertical="center"/>
    </xf>
    <xf borderId="6" fillId="0" fontId="13" numFmtId="0" xfId="0" applyAlignment="1" applyBorder="1" applyFont="1">
      <alignment horizontal="center" vertical="center"/>
    </xf>
    <xf borderId="6" fillId="0" fontId="5" numFmtId="0" xfId="0" applyBorder="1" applyFont="1"/>
    <xf borderId="6" fillId="0" fontId="5" numFmtId="0" xfId="0" applyAlignment="1" applyBorder="1" applyFont="1">
      <alignment horizontal="center" vertical="center"/>
    </xf>
    <xf borderId="6" fillId="0" fontId="14" numFmtId="0" xfId="0" applyAlignment="1" applyBorder="1" applyFont="1">
      <alignment horizontal="center" readingOrder="0" vertical="center"/>
    </xf>
    <xf borderId="6" fillId="0" fontId="5" numFmtId="0" xfId="0" applyAlignment="1" applyBorder="1" applyFont="1">
      <alignment readingOrder="0"/>
    </xf>
    <xf borderId="6" fillId="0" fontId="14" numFmtId="165" xfId="0" applyAlignment="1" applyBorder="1" applyFont="1" applyNumberFormat="1">
      <alignment horizontal="center" vertical="center"/>
    </xf>
    <xf borderId="6" fillId="0" fontId="5" numFmtId="164" xfId="0" applyAlignment="1" applyBorder="1" applyFont="1" applyNumberFormat="1">
      <alignment horizontal="center" vertical="center"/>
    </xf>
    <xf borderId="6" fillId="0" fontId="5" numFmtId="12" xfId="0" applyAlignment="1" applyBorder="1" applyFont="1" applyNumberFormat="1">
      <alignment horizontal="center" readingOrder="0" vertical="center"/>
    </xf>
    <xf borderId="6" fillId="0" fontId="15" numFmtId="0" xfId="0" applyAlignment="1" applyBorder="1" applyFont="1">
      <alignment horizontal="center" readingOrder="0" shrinkToFit="0" vertical="center" wrapText="1"/>
    </xf>
    <xf borderId="6" fillId="0" fontId="5" numFmtId="0" xfId="0" applyAlignment="1" applyBorder="1" applyFont="1">
      <alignment horizontal="left" readingOrder="0" vertical="center"/>
    </xf>
    <xf borderId="6" fillId="0" fontId="5" numFmtId="12" xfId="0" applyAlignment="1" applyBorder="1" applyFont="1" applyNumberFormat="1">
      <alignment horizontal="center"/>
    </xf>
    <xf borderId="6" fillId="0" fontId="5" numFmtId="0" xfId="0" applyAlignment="1" applyBorder="1" applyFont="1">
      <alignment horizontal="left" readingOrder="0" vertical="top"/>
    </xf>
    <xf borderId="6" fillId="0" fontId="5" numFmtId="0" xfId="0" applyAlignment="1" applyBorder="1" applyFont="1">
      <alignment horizontal="center" readingOrder="0" vertical="center"/>
    </xf>
    <xf borderId="6" fillId="0" fontId="16" numFmtId="12" xfId="0" applyAlignment="1" applyBorder="1" applyFont="1" applyNumberFormat="1">
      <alignment horizontal="center" readingOrder="0" vertical="center"/>
    </xf>
    <xf borderId="6" fillId="0" fontId="5" numFmtId="166" xfId="0" applyAlignment="1" applyBorder="1" applyFont="1" applyNumberFormat="1">
      <alignment horizontal="center" readingOrder="0" vertical="center"/>
    </xf>
    <xf borderId="6" fillId="0" fontId="5" numFmtId="167" xfId="0" applyAlignment="1" applyBorder="1" applyFont="1" applyNumberFormat="1">
      <alignment horizontal="center" readingOrder="0" vertical="center"/>
    </xf>
    <xf borderId="6" fillId="0" fontId="17" numFmtId="1" xfId="0" applyAlignment="1" applyBorder="1" applyFont="1" applyNumberFormat="1">
      <alignment horizontal="center" readingOrder="0" vertical="center"/>
    </xf>
    <xf borderId="6" fillId="0" fontId="10" numFmtId="0" xfId="0" applyAlignment="1" applyBorder="1" applyFont="1">
      <alignment horizontal="center" readingOrder="0" vertical="center"/>
    </xf>
    <xf borderId="6" fillId="0" fontId="10" numFmtId="164" xfId="0" applyAlignment="1" applyBorder="1" applyFont="1" applyNumberFormat="1">
      <alignment horizontal="left" readingOrder="0" vertical="center"/>
    </xf>
    <xf borderId="6" fillId="0" fontId="5" numFmtId="0" xfId="0" applyAlignment="1" applyBorder="1" applyFont="1">
      <alignment horizontal="left" shrinkToFit="0" vertical="top" wrapText="1"/>
    </xf>
    <xf borderId="6" fillId="0" fontId="5" numFmtId="0" xfId="0" applyAlignment="1" applyBorder="1" applyFont="1">
      <alignment horizontal="left" vertical="top"/>
    </xf>
    <xf borderId="6" fillId="0" fontId="5" numFmtId="0" xfId="0" applyAlignment="1" applyBorder="1" applyFont="1">
      <alignment horizontal="center"/>
    </xf>
    <xf borderId="6" fillId="0" fontId="5" numFmtId="0" xfId="0" applyAlignment="1" applyBorder="1" applyFont="1">
      <alignment horizontal="center" readingOrder="0"/>
    </xf>
    <xf borderId="6" fillId="0" fontId="5" numFmtId="1" xfId="0" applyAlignment="1" applyBorder="1" applyFont="1" applyNumberFormat="1">
      <alignment horizontal="center" readingOrder="0" vertical="center"/>
    </xf>
    <xf borderId="6" fillId="0" fontId="5" numFmtId="1" xfId="0" applyAlignment="1" applyBorder="1" applyFont="1" applyNumberFormat="1">
      <alignment horizontal="left" vertical="center"/>
    </xf>
    <xf borderId="6" fillId="0" fontId="5" numFmtId="164" xfId="0" applyAlignment="1" applyBorder="1" applyFont="1" applyNumberFormat="1">
      <alignment horizontal="left" vertical="center"/>
    </xf>
    <xf borderId="6" fillId="0" fontId="5" numFmtId="0" xfId="0" applyAlignment="1" applyBorder="1" applyFont="1">
      <alignment readingOrder="0" shrinkToFit="0" vertical="top" wrapText="1"/>
    </xf>
    <xf borderId="6" fillId="0" fontId="18" numFmtId="0" xfId="0" applyBorder="1" applyFont="1"/>
    <xf borderId="6" fillId="0" fontId="5" numFmtId="0" xfId="0" applyAlignment="1" applyBorder="1" applyFont="1">
      <alignment shrinkToFit="0" vertical="top" wrapText="1"/>
    </xf>
    <xf borderId="6" fillId="0" fontId="5" numFmtId="1" xfId="0" applyAlignment="1" applyBorder="1" applyFont="1" applyNumberFormat="1">
      <alignment horizontal="center" readingOrder="0" vertical="center"/>
    </xf>
    <xf borderId="0" fillId="0" fontId="5" numFmtId="0" xfId="0" applyAlignment="1" applyFont="1">
      <alignment horizontal="center"/>
    </xf>
    <xf borderId="7" fillId="3" fontId="3" numFmtId="0" xfId="0" applyAlignment="1" applyBorder="1" applyFont="1">
      <alignment horizontal="center" readingOrder="0" vertical="center"/>
    </xf>
    <xf borderId="8" fillId="4" fontId="19" numFmtId="0" xfId="0" applyAlignment="1" applyBorder="1" applyFill="1" applyFont="1">
      <alignment horizontal="center" readingOrder="0" vertical="top"/>
    </xf>
    <xf borderId="9" fillId="0" fontId="2" numFmtId="0" xfId="0" applyBorder="1" applyFont="1"/>
    <xf borderId="10" fillId="0" fontId="2" numFmtId="0" xfId="0" applyBorder="1" applyFont="1"/>
    <xf borderId="5" fillId="0" fontId="2" numFmtId="0" xfId="0" applyBorder="1" applyFont="1"/>
    <xf borderId="6" fillId="3" fontId="3" numFmtId="0" xfId="0" applyAlignment="1" applyBorder="1" applyFont="1">
      <alignment horizontal="center" readingOrder="0" vertical="center"/>
    </xf>
    <xf borderId="6" fillId="3" fontId="3" numFmtId="0" xfId="0" applyAlignment="1" applyBorder="1" applyFont="1">
      <alignment horizontal="center" readingOrder="0" vertical="top"/>
    </xf>
    <xf borderId="6" fillId="0" fontId="5" numFmtId="0" xfId="0" applyAlignment="1" applyBorder="1" applyFont="1">
      <alignment horizontal="left" readingOrder="0"/>
    </xf>
    <xf borderId="6" fillId="0" fontId="5" numFmtId="0" xfId="0" applyAlignment="1" applyBorder="1" applyFont="1">
      <alignment horizontal="center" vertical="center"/>
    </xf>
    <xf borderId="6" fillId="0" fontId="5" numFmtId="168" xfId="0" applyAlignment="1" applyBorder="1" applyFont="1" applyNumberFormat="1">
      <alignment horizontal="center" readingOrder="0" vertical="center"/>
    </xf>
    <xf borderId="1" fillId="0" fontId="3" numFmtId="0" xfId="0" applyAlignment="1" applyBorder="1" applyFont="1">
      <alignment readingOrder="0"/>
    </xf>
    <xf borderId="1" fillId="0" fontId="20" numFmtId="0" xfId="0" applyAlignment="1" applyBorder="1" applyFont="1">
      <alignment horizontal="center" vertical="center"/>
    </xf>
    <xf borderId="6" fillId="5" fontId="21" numFmtId="0" xfId="0" applyAlignment="1" applyBorder="1" applyFill="1" applyFont="1">
      <alignment horizontal="center" readingOrder="0" shrinkToFit="0" wrapText="0"/>
    </xf>
    <xf borderId="10" fillId="5" fontId="22" numFmtId="0" xfId="0" applyAlignment="1" applyBorder="1" applyFont="1">
      <alignment horizontal="center" readingOrder="0" shrinkToFit="0" wrapText="0"/>
    </xf>
    <xf borderId="6" fillId="0" fontId="5" numFmtId="0" xfId="0" applyAlignment="1" applyBorder="1" applyFont="1">
      <alignment horizontal="left" readingOrder="0" shrinkToFit="0" vertical="top" wrapText="0"/>
    </xf>
    <xf borderId="0" fillId="0" fontId="23" numFmtId="0" xfId="0" applyAlignment="1" applyFont="1">
      <alignment horizontal="center" readingOrder="0" shrinkToFit="0" vertical="bottom" wrapText="0"/>
    </xf>
    <xf borderId="8" fillId="0" fontId="24" numFmtId="0" xfId="0" applyAlignment="1" applyBorder="1" applyFont="1">
      <alignment horizontal="center" readingOrder="0" shrinkToFit="0" vertical="bottom" wrapText="0"/>
    </xf>
    <xf borderId="0" fillId="0" fontId="25" numFmtId="0" xfId="0" applyAlignment="1" applyFont="1">
      <alignment shrinkToFit="0" vertical="bottom" wrapText="0"/>
    </xf>
    <xf borderId="8" fillId="0" fontId="24" numFmtId="0" xfId="0" applyAlignment="1" applyBorder="1" applyFont="1">
      <alignment horizontal="center" readingOrder="0" shrinkToFit="0" vertical="center" wrapText="0"/>
    </xf>
    <xf borderId="11" fillId="6" fontId="26" numFmtId="0" xfId="0" applyAlignment="1" applyBorder="1" applyFill="1" applyFont="1">
      <alignment horizontal="center" readingOrder="0" shrinkToFit="0" wrapText="0"/>
    </xf>
    <xf borderId="12" fillId="0" fontId="2" numFmtId="0" xfId="0" applyBorder="1" applyFont="1"/>
    <xf borderId="13" fillId="0" fontId="2" numFmtId="0" xfId="0" applyBorder="1" applyFont="1"/>
    <xf borderId="11" fillId="6" fontId="27" numFmtId="0" xfId="0" applyAlignment="1" applyBorder="1" applyFont="1">
      <alignment horizontal="center" readingOrder="0" shrinkToFit="0" wrapText="0"/>
    </xf>
    <xf borderId="14" fillId="0" fontId="2" numFmtId="0" xfId="0" applyBorder="1" applyFont="1"/>
    <xf borderId="15" fillId="0" fontId="2" numFmtId="0" xfId="0" applyBorder="1" applyFont="1"/>
    <xf borderId="6" fillId="6" fontId="24" numFmtId="0" xfId="0" applyAlignment="1" applyBorder="1" applyFont="1">
      <alignment readingOrder="0"/>
    </xf>
    <xf borderId="10" fillId="6" fontId="24" numFmtId="0" xfId="0" applyAlignment="1" applyBorder="1" applyFont="1">
      <alignment horizontal="center" readingOrder="0" shrinkToFit="0" wrapText="0"/>
    </xf>
    <xf borderId="5" fillId="0" fontId="28" numFmtId="0" xfId="0" applyAlignment="1" applyBorder="1" applyFont="1">
      <alignment readingOrder="0" shrinkToFit="0" vertical="bottom" wrapText="0"/>
    </xf>
    <xf borderId="16" fillId="0" fontId="28" numFmtId="0" xfId="0" applyAlignment="1" applyBorder="1" applyFont="1">
      <alignment horizontal="center" readingOrder="0" shrinkToFit="0" wrapText="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66675</xdr:rowOff>
    </xdr:from>
    <xdr:ext cx="1800225" cy="4476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285750</xdr:colOff>
      <xdr:row>0</xdr:row>
      <xdr:rowOff>38100</xdr:rowOff>
    </xdr:from>
    <xdr:ext cx="866775" cy="5048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0</xdr:row>
      <xdr:rowOff>57150</xdr:rowOff>
    </xdr:from>
    <xdr:ext cx="5715000" cy="3533775"/>
    <xdr:pic>
      <xdr:nvPicPr>
        <xdr:cNvPr id="1349722640"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38100</xdr:colOff>
      <xdr:row>14</xdr:row>
      <xdr:rowOff>133350</xdr:rowOff>
    </xdr:from>
    <xdr:ext cx="5715000" cy="3533775"/>
    <xdr:pic>
      <xdr:nvPicPr>
        <xdr:cNvPr id="916416741"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Bql1e2WUp-I3jrOhrwYtij0o_WOfpiLo/view?usp=drivesdk" TargetMode="External"/><Relationship Id="rId42" Type="http://schemas.openxmlformats.org/officeDocument/2006/relationships/hyperlink" Target="https://drive.google.com/file/d/1ywlRvICQ4Abu36LO0dK7ACNjQ23kUZbt/view?usp=drivesdk" TargetMode="External"/><Relationship Id="rId41" Type="http://schemas.openxmlformats.org/officeDocument/2006/relationships/hyperlink" Target="https://drive.google.com/file/d/1tqro9zbF2TINzP1I2ywznmj8n8U-suXc/view?usp=drivesdk" TargetMode="External"/><Relationship Id="rId44" Type="http://schemas.openxmlformats.org/officeDocument/2006/relationships/hyperlink" Target="https://drive.google.com/file/d/1cPi2yuH4IP_YU6YdZk5tobcq5DV0l4Xa/view?usp=drivesdk" TargetMode="External"/><Relationship Id="rId43" Type="http://schemas.openxmlformats.org/officeDocument/2006/relationships/hyperlink" Target="https://drive.google.com/file/d/111uJIHD71hkS--oF7FJ9OQ1l8eigAdwj/view?usp=drivesdk" TargetMode="External"/><Relationship Id="rId46" Type="http://schemas.openxmlformats.org/officeDocument/2006/relationships/hyperlink" Target="https://drive.google.com/file/d/1jXDngKcJYrWgtYAgyinmuvN4Hlr3ijTE/view?usp=drivesdk" TargetMode="External"/><Relationship Id="rId45" Type="http://schemas.openxmlformats.org/officeDocument/2006/relationships/hyperlink" Target="https://drive.google.com/file/d/1SxZeXli3rdl0tqGIb0kI4gbSKdATf2d7/view?usp=drivesdk" TargetMode="External"/><Relationship Id="rId1" Type="http://schemas.openxmlformats.org/officeDocument/2006/relationships/hyperlink" Target="https://drive.google.com/file/d/1SQz50kRoKawEJGpevl73NvIwAJrBFfgW/view?usp=drivesdk" TargetMode="External"/><Relationship Id="rId2" Type="http://schemas.openxmlformats.org/officeDocument/2006/relationships/hyperlink" Target="https://drive.google.com/file/d/1ZANkha80_E01-Th2C63_Ufa3qZc7yuYz/view?usp=drivesdk" TargetMode="External"/><Relationship Id="rId3" Type="http://schemas.openxmlformats.org/officeDocument/2006/relationships/hyperlink" Target="https://drive.google.com/file/d/1svG52Ppv6V9XaM0qCBi6BhYPdnCKnPCs/view?usp=drivesdk" TargetMode="External"/><Relationship Id="rId4" Type="http://schemas.openxmlformats.org/officeDocument/2006/relationships/hyperlink" Target="https://drive.google.com/file/d/1xeWvBmaIqLcRQPJF239-dGUB3YU38H9h/view?usp=drivesdk" TargetMode="External"/><Relationship Id="rId9" Type="http://schemas.openxmlformats.org/officeDocument/2006/relationships/hyperlink" Target="https://drive.google.com/file/d/17xfJ1PADjy3RQXQ2AKTK7FPngTFMs_hG/view?usp=drivesdk" TargetMode="External"/><Relationship Id="rId48" Type="http://schemas.openxmlformats.org/officeDocument/2006/relationships/hyperlink" Target="https://drive.google.com/file/d/1H4t4MkQhoKruwyuuORwe0YIdjd5JTeXj/view?usp=drivesdk" TargetMode="External"/><Relationship Id="rId47" Type="http://schemas.openxmlformats.org/officeDocument/2006/relationships/hyperlink" Target="https://drive.google.com/file/d/1Mpwbf4DRAqltEYx2k49jc2PZOKdysz9F/view?usp=drivesdk" TargetMode="External"/><Relationship Id="rId49" Type="http://schemas.openxmlformats.org/officeDocument/2006/relationships/hyperlink" Target="https://drive.google.com/file/d/1MeCpq7ULyr31YwhcgPt4NFqx5maEaEYl/view?usp=drivesdk" TargetMode="External"/><Relationship Id="rId5" Type="http://schemas.openxmlformats.org/officeDocument/2006/relationships/hyperlink" Target="https://drive.google.com/file/d/1n_b-hLJdZRS25GoEkGGbdeINK8yTe7o0/view?usp=drivesdk" TargetMode="External"/><Relationship Id="rId6" Type="http://schemas.openxmlformats.org/officeDocument/2006/relationships/hyperlink" Target="https://drive.google.com/file/d/1uK-Wgj5ix6G1-g4Gr9l9DzaKFPLmi-fR/view?usp=drivesdk" TargetMode="External"/><Relationship Id="rId7" Type="http://schemas.openxmlformats.org/officeDocument/2006/relationships/hyperlink" Target="https://drive.google.com/file/d/1Ai4L-BIefSv4p1RcwH25HuR99wztrY4O/view?usp=drivesdk" TargetMode="External"/><Relationship Id="rId8" Type="http://schemas.openxmlformats.org/officeDocument/2006/relationships/hyperlink" Target="https://drive.google.com/file/d/1g_w1qhwUOt_UHbN7l4GLMui17ISn7gos/view?usp=sharing" TargetMode="External"/><Relationship Id="rId73" Type="http://schemas.openxmlformats.org/officeDocument/2006/relationships/drawing" Target="../drawings/drawing1.xml"/><Relationship Id="rId72" Type="http://schemas.openxmlformats.org/officeDocument/2006/relationships/hyperlink" Target="https://drive.google.com/file/d/1aeBoi7CywLFdPyl2bIjVOlOkP8iQ7Zrq/view?usp=drivesdk%22,%22202541099134.png" TargetMode="External"/><Relationship Id="rId31" Type="http://schemas.openxmlformats.org/officeDocument/2006/relationships/hyperlink" Target="https://drive.google.com/file/d/1R1Z0lCDhzIMASalNkQGTYuwPOURdE2Z2/view?usp=drivesdk" TargetMode="External"/><Relationship Id="rId30" Type="http://schemas.openxmlformats.org/officeDocument/2006/relationships/hyperlink" Target="https://drive.google.com/file/d/1dOXsIre3wQinKrAzAwE6ayvE9Je8Qfy-/view?usp=drivesdk" TargetMode="External"/><Relationship Id="rId33" Type="http://schemas.openxmlformats.org/officeDocument/2006/relationships/hyperlink" Target="https://drive.google.com/file/d/1_0XZbRwbnTc3zvcZespPgPSVwppox_l1/view?usp=drive_link" TargetMode="External"/><Relationship Id="rId32" Type="http://schemas.openxmlformats.org/officeDocument/2006/relationships/hyperlink" Target="https://drive.google.com/file/d/1QOsgNuKCawfbEHJ3_VXwo9yuMJ_cDAct/view?usp=drivesdk" TargetMode="External"/><Relationship Id="rId35" Type="http://schemas.openxmlformats.org/officeDocument/2006/relationships/hyperlink" Target="https://drive.google.com/file/d/1Mk12T6jBBVsrjR3E3l7IGGz6-QEoB2On/view?usp=drivesdk" TargetMode="External"/><Relationship Id="rId34" Type="http://schemas.openxmlformats.org/officeDocument/2006/relationships/hyperlink" Target="https://drive.google.com/file/d/1irIxD9weqZZb7HPyd2LGGBOwdZRh9qf4/view?usp=drivesdk" TargetMode="External"/><Relationship Id="rId71" Type="http://schemas.openxmlformats.org/officeDocument/2006/relationships/hyperlink" Target="https://drive.google.com/file/d/17JxqRQTk7Zxi_p3gUXHCSZtSXJJKTU-g/view?usp=drivesdk%22,%22202541040554.png" TargetMode="External"/><Relationship Id="rId70" Type="http://schemas.openxmlformats.org/officeDocument/2006/relationships/hyperlink" Target="https://drive.google.com/file/d/1pt-cf0_s0oS8EccjzHyS45tuIYW4K3s1/view?usp=drivesdk%22,%22202541040734.png" TargetMode="External"/><Relationship Id="rId37" Type="http://schemas.openxmlformats.org/officeDocument/2006/relationships/hyperlink" Target="https://drive.google.com/file/d/11eFGyyPsPYi9PQh0Yj1j7gfZjI2MCSXd/view?usp=drivesdk" TargetMode="External"/><Relationship Id="rId36" Type="http://schemas.openxmlformats.org/officeDocument/2006/relationships/hyperlink" Target="https://drive.google.com/file/d/1ZlzKvV0Ak1W8vbm79J9sKIrjUJwVvhQ0/view?usp=drivesdk" TargetMode="External"/><Relationship Id="rId39" Type="http://schemas.openxmlformats.org/officeDocument/2006/relationships/hyperlink" Target="https://drive.google.com/file/d/1XaYLvQMmtMNcd1RnIpARl6U-zkqUoVSZ/view?usp=drivesdk" TargetMode="External"/><Relationship Id="rId38" Type="http://schemas.openxmlformats.org/officeDocument/2006/relationships/hyperlink" Target="https://drive.google.com/file/d/1dOBS5SEgQoJjSta452-iUtjxclY06-ip/view?usp=drivesdk" TargetMode="External"/><Relationship Id="rId62" Type="http://schemas.openxmlformats.org/officeDocument/2006/relationships/hyperlink" Target="https://drive.google.com/file/d/1K8TeASzgahawP1DOTR8OLok22u2L44G1/view?usp=drivesdk%22,%22202441080837.png" TargetMode="External"/><Relationship Id="rId61" Type="http://schemas.openxmlformats.org/officeDocument/2006/relationships/hyperlink" Target="https://drive.google.com/file/d/1K8TeASzgahawP1DOTR8OLok22u2L44G1/view?usp=drivesdk%22,%22202441080836.png" TargetMode="External"/><Relationship Id="rId20" Type="http://schemas.openxmlformats.org/officeDocument/2006/relationships/hyperlink" Target="https://drive.google.com/file/d/15dEwotSbUO3EesTaTtB8yCfPIS_pTfA1/view?usp=drivesdk" TargetMode="External"/><Relationship Id="rId64" Type="http://schemas.openxmlformats.org/officeDocument/2006/relationships/hyperlink" Target="https://drive.google.com/file/d/1K8TeASzgahawP1DOTR8OLok22u2L44G1/view?usp=drivesdk%22,%22202441080839.png" TargetMode="External"/><Relationship Id="rId63" Type="http://schemas.openxmlformats.org/officeDocument/2006/relationships/hyperlink" Target="https://drive.google.com/file/d/1K8TeASzgahawP1DOTR8OLok22u2L44G1/view?usp=drivesdk%22,%22202441080838.png" TargetMode="External"/><Relationship Id="rId22" Type="http://schemas.openxmlformats.org/officeDocument/2006/relationships/hyperlink" Target="https://drive.google.com/file/d/1jvVZrTXLLwAY_zxIY-9hkTopD2mlBhVw/view?usp=sharing" TargetMode="External"/><Relationship Id="rId66" Type="http://schemas.openxmlformats.org/officeDocument/2006/relationships/hyperlink" Target="https://drive.google.com/file/d/1H-GaW2sFltGfTgFZ1DJagdPC2kYlNKQM/view?usp=drivesdk%22,%22202441082545.png" TargetMode="External"/><Relationship Id="rId21" Type="http://schemas.openxmlformats.org/officeDocument/2006/relationships/hyperlink" Target="https://drive.google.com/file/d/18bzl-8uhGjNrKtwFFwSIDI98HYqcR3ai/view?usp=drivesdk" TargetMode="External"/><Relationship Id="rId65" Type="http://schemas.openxmlformats.org/officeDocument/2006/relationships/hyperlink" Target="https://drive.google.com/file/d/1hXdrO9yLVBI_ruKTcf1Az5gLF-_xhBmP/view?usp=drivesdk%22,%22202441087833.png" TargetMode="External"/><Relationship Id="rId24" Type="http://schemas.openxmlformats.org/officeDocument/2006/relationships/hyperlink" Target="https://drive.google.com/file/d/1tw8sTtezoRiOw3VD5ckhm9ltZosqJGoh/view?usp=drivesdk" TargetMode="External"/><Relationship Id="rId68" Type="http://schemas.openxmlformats.org/officeDocument/2006/relationships/hyperlink" Target="https://drive.google.com/file/d/1re5CHs0cL6ktjgcJOUCslHVw1a4FWyA7/view?usp=drivesdk%22,%22202441090216.png" TargetMode="External"/><Relationship Id="rId23" Type="http://schemas.openxmlformats.org/officeDocument/2006/relationships/hyperlink" Target="https://drive.google.com/file/d/10yokSvADa_YsBWSb2p8GWl9wvrRw11Bz/view?usp=drivesdk" TargetMode="External"/><Relationship Id="rId67" Type="http://schemas.openxmlformats.org/officeDocument/2006/relationships/hyperlink" Target="https://drive.google.com/file/d/14o3aFIL2MYpnHHSCAJUjAwjj1fh406bt/view?usp=drivesdk%22,%22202441090217.png" TargetMode="External"/><Relationship Id="rId60" Type="http://schemas.openxmlformats.org/officeDocument/2006/relationships/hyperlink" Target="https://drive.google.com/file/d/1zPqIq07aJhpmA6_hVn0jZj5eo929hknA/view?usp=drivesdk%22,%22202441080835.png" TargetMode="External"/><Relationship Id="rId26" Type="http://schemas.openxmlformats.org/officeDocument/2006/relationships/hyperlink" Target="https://drive.google.com/file/d/1XHoba_y4lOaVebneHQrEAH5FS2uzNUgn/view?usp=sharing" TargetMode="External"/><Relationship Id="rId25" Type="http://schemas.openxmlformats.org/officeDocument/2006/relationships/hyperlink" Target="https://drive.google.com/file/d/1GYNVE-DkYYPpsKYwq8EXULy21wzGoPoG/view?usp=drivesdk" TargetMode="External"/><Relationship Id="rId69" Type="http://schemas.openxmlformats.org/officeDocument/2006/relationships/hyperlink" Target="https://drive.google.com/file/d/1VgOfPznoOySWbNk0Q3AVGzoWkg4qLe3A/view?usp=drivesdk%22,%22202541020576.png" TargetMode="External"/><Relationship Id="rId28" Type="http://schemas.openxmlformats.org/officeDocument/2006/relationships/hyperlink" Target="https://drive.google.com/file/d/1xEVV6N0vvUNMq_t3biAJeFctHiK71Q55/view?usp=drivesdk" TargetMode="External"/><Relationship Id="rId27" Type="http://schemas.openxmlformats.org/officeDocument/2006/relationships/hyperlink" Target="https://drive.google.com/file/d/1XWjqmuOveSASwiUHx5ZRqxolt2_KeUFV/view?usp=sharing" TargetMode="External"/><Relationship Id="rId29" Type="http://schemas.openxmlformats.org/officeDocument/2006/relationships/hyperlink" Target="https://drive.google.com/file/d/1FllYx9F9S8hf6eiUbKRu9uSfbFTLeMd1/view?usp=drivesdk" TargetMode="External"/><Relationship Id="rId51" Type="http://schemas.openxmlformats.org/officeDocument/2006/relationships/hyperlink" Target="https://drive.google.com/file/d/1SakhovCDo1snizbpplq9dTYvWmehA388/view?usp=sharing" TargetMode="External"/><Relationship Id="rId50" Type="http://schemas.openxmlformats.org/officeDocument/2006/relationships/hyperlink" Target="https://drive.google.com/file/d/1YjTfLublVhHzy1osX33hchStZaex6lLt/view?usp=drivesdk" TargetMode="External"/><Relationship Id="rId53" Type="http://schemas.openxmlformats.org/officeDocument/2006/relationships/hyperlink" Target="https://drive.google.com/file/d/1X_mW6D1aMC2K5UVRzEWW7RT7uVYwHlit/view?usp=drivesdk" TargetMode="External"/><Relationship Id="rId52" Type="http://schemas.openxmlformats.org/officeDocument/2006/relationships/hyperlink" Target="https://drive.google.com/file/d/1g0PtX7SEQhtitBut1_qPt4JtNp6x39_Q/view?usp=drivesdk" TargetMode="External"/><Relationship Id="rId11" Type="http://schemas.openxmlformats.org/officeDocument/2006/relationships/hyperlink" Target="https://drive.google.com/file/d/1O7bCbACx2nAoAXEG0iSv8_ny9dqNC-y_/view?usp=sharing" TargetMode="External"/><Relationship Id="rId55" Type="http://schemas.openxmlformats.org/officeDocument/2006/relationships/hyperlink" Target="https://drive.google.com/file/d/1rqrBnQg4IIng-pwvp75-IBV-XpOCT6Lb/view?usp=drivesdk" TargetMode="External"/><Relationship Id="rId10" Type="http://schemas.openxmlformats.org/officeDocument/2006/relationships/hyperlink" Target="https://drive.google.com/file/d/1u77yJbXkqwePHqvPwAR5Lan7G4glMtUm/view?usp=drivesdk" TargetMode="External"/><Relationship Id="rId54" Type="http://schemas.openxmlformats.org/officeDocument/2006/relationships/hyperlink" Target="https://drive.google.com/file/d/1pJPhK4u490I71Y6Zh7CrQkHU1NWuWHBk/view?usp=drivesdk" TargetMode="External"/><Relationship Id="rId13" Type="http://schemas.openxmlformats.org/officeDocument/2006/relationships/hyperlink" Target="https://drive.google.com/file/d/11_D4bWeNsP7iKhsipK0ENHnz2V7Bo_vr/view?usp=drivesdk" TargetMode="External"/><Relationship Id="rId57" Type="http://schemas.openxmlformats.org/officeDocument/2006/relationships/hyperlink" Target="https://drive.google.com/file/d/1-MJpVOilU89MS_eqWSsqlC7TA1qccrVv/view?usp=sharing" TargetMode="External"/><Relationship Id="rId12" Type="http://schemas.openxmlformats.org/officeDocument/2006/relationships/hyperlink" Target="https://drive.google.com/file/d/1T5Evnrndwb1DDanZNQAlQX0_dPZgAgs4/view?usp=drivesdk" TargetMode="External"/><Relationship Id="rId56" Type="http://schemas.openxmlformats.org/officeDocument/2006/relationships/hyperlink" Target="https://drive.google.com/file/d/13W1Nco3T5vow05Ci_RzQzMSLlW3Jtmev/view?usp=drivesdk" TargetMode="External"/><Relationship Id="rId15" Type="http://schemas.openxmlformats.org/officeDocument/2006/relationships/hyperlink" Target="https://drive.google.com/file/d/1PFMO-xu-BCzzqazwntM8DMOrhWylxz5C/view?usp=drivesdk" TargetMode="External"/><Relationship Id="rId59" Type="http://schemas.openxmlformats.org/officeDocument/2006/relationships/hyperlink" Target="https://drive.google.com/file/d/1DT8sgSzwV4SM9f5s5RI-UUH50bB05xZN/view?usp=drive_link" TargetMode="External"/><Relationship Id="rId14" Type="http://schemas.openxmlformats.org/officeDocument/2006/relationships/hyperlink" Target="https://drive.google.com/file/d/1O9VUjvAv5uvRY6qcieMAiEjVe7wfZapS/view?usp=drivesdk" TargetMode="External"/><Relationship Id="rId58" Type="http://schemas.openxmlformats.org/officeDocument/2006/relationships/hyperlink" Target="https://drive.google.com/file/d/1eAfYIzXt3B41aDbSvr-svKzIN13xFD6h/view?usp=drive_link" TargetMode="External"/><Relationship Id="rId17" Type="http://schemas.openxmlformats.org/officeDocument/2006/relationships/hyperlink" Target="https://drive.google.com/file/d/1I0oVAPeexFqxmLzMVOvgywE_ET-LE6c4/view?usp=drivesdk" TargetMode="External"/><Relationship Id="rId16" Type="http://schemas.openxmlformats.org/officeDocument/2006/relationships/hyperlink" Target="https://drive.google.com/file/d/1wTakWObgPAHNfJNvItNzVfjpaYLJR-69/view?usp=drive_link" TargetMode="External"/><Relationship Id="rId19" Type="http://schemas.openxmlformats.org/officeDocument/2006/relationships/hyperlink" Target="https://drive.google.com/file/d/1m0xfyFjNG5eCU2HT8fXWOPNGAuwBa3yv/view?usp=sharing" TargetMode="External"/><Relationship Id="rId18" Type="http://schemas.openxmlformats.org/officeDocument/2006/relationships/hyperlink" Target="https://drive.google.com/file/d/1mAmTcwjOWNcXafrB4l8PZvWdUK9pfqd7/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8.14"/>
    <col customWidth="1" min="2" max="2" width="15.14"/>
    <col customWidth="1" min="3" max="3" width="13.86"/>
    <col customWidth="1" min="4" max="4" width="11.57"/>
    <col customWidth="1" min="5" max="5" width="15.14"/>
    <col customWidth="1" min="6" max="6" width="11.86"/>
    <col customWidth="1" min="7" max="7" width="11.14"/>
    <col customWidth="1" min="8" max="8" width="22.14"/>
    <col customWidth="1" min="9" max="9" width="10.29"/>
    <col customWidth="1" min="10" max="10" width="11.43"/>
    <col customWidth="1" min="11" max="11" width="40.14"/>
    <col customWidth="1" min="12" max="12" width="52.71"/>
    <col customWidth="1" min="13" max="13" width="16.43"/>
    <col customWidth="1" min="14" max="14" width="36.29"/>
    <col customWidth="1" min="15" max="15" width="17.29"/>
    <col customWidth="1" min="16" max="16" width="11.57"/>
    <col customWidth="1" min="17" max="17" width="19.71"/>
  </cols>
  <sheetData>
    <row r="1" ht="48.0" customHeight="1">
      <c r="A1" s="1" t="s">
        <v>0</v>
      </c>
      <c r="B1" s="2"/>
      <c r="C1" s="2"/>
      <c r="D1" s="2"/>
      <c r="E1" s="2"/>
      <c r="F1" s="2"/>
      <c r="G1" s="2"/>
      <c r="H1" s="2"/>
      <c r="I1" s="2"/>
      <c r="J1" s="2"/>
      <c r="K1" s="2"/>
      <c r="L1" s="2"/>
      <c r="M1" s="2"/>
      <c r="N1" s="2"/>
      <c r="O1" s="2"/>
      <c r="P1" s="2"/>
      <c r="Q1" s="3"/>
    </row>
    <row r="2" ht="48.0" customHeight="1">
      <c r="A2" s="4" t="s">
        <v>1</v>
      </c>
      <c r="B2" s="5" t="s">
        <v>2</v>
      </c>
      <c r="C2" s="5" t="s">
        <v>3</v>
      </c>
      <c r="D2" s="5" t="s">
        <v>4</v>
      </c>
      <c r="E2" s="5" t="s">
        <v>5</v>
      </c>
      <c r="F2" s="5" t="s">
        <v>6</v>
      </c>
      <c r="G2" s="5" t="s">
        <v>7</v>
      </c>
      <c r="H2" s="4" t="s">
        <v>8</v>
      </c>
      <c r="I2" s="5" t="s">
        <v>9</v>
      </c>
      <c r="J2" s="4" t="s">
        <v>10</v>
      </c>
      <c r="K2" s="4" t="s">
        <v>11</v>
      </c>
      <c r="L2" s="5" t="s">
        <v>12</v>
      </c>
      <c r="M2" s="5" t="s">
        <v>13</v>
      </c>
      <c r="N2" s="5" t="s">
        <v>14</v>
      </c>
      <c r="O2" s="5" t="s">
        <v>15</v>
      </c>
      <c r="P2" s="4" t="s">
        <v>16</v>
      </c>
      <c r="Q2" s="5" t="s">
        <v>17</v>
      </c>
    </row>
    <row r="3" ht="23.25" customHeight="1">
      <c r="A3" s="6">
        <v>1.0</v>
      </c>
      <c r="B3" s="7"/>
      <c r="C3" s="8" t="s">
        <v>18</v>
      </c>
      <c r="D3" s="9">
        <v>42249.0</v>
      </c>
      <c r="E3" s="10" t="s">
        <v>19</v>
      </c>
      <c r="F3" s="9">
        <v>42454.0</v>
      </c>
      <c r="G3" s="11">
        <v>423999.0</v>
      </c>
      <c r="H3" s="12" t="str">
        <f>hyperlink("https://drive.google.com/file/d/1WGd9HHt7PCj8E_IoDcfOyaBwNgnZJEp7/view?usp=drivesdk","2182-CHE-2015.pdf")</f>
        <v>2182-CHE-2015.pdf</v>
      </c>
      <c r="I3" s="13">
        <v>44812.0</v>
      </c>
      <c r="J3" s="14">
        <v>45776.0</v>
      </c>
      <c r="K3" s="15" t="s">
        <v>20</v>
      </c>
      <c r="L3" s="16" t="s">
        <v>21</v>
      </c>
      <c r="M3" s="16" t="s">
        <v>22</v>
      </c>
      <c r="N3" s="17" t="s">
        <v>23</v>
      </c>
      <c r="O3" s="18"/>
      <c r="P3" s="10" t="b">
        <v>0</v>
      </c>
      <c r="Q3" s="18"/>
    </row>
    <row r="4" ht="23.25" customHeight="1">
      <c r="A4" s="19">
        <v>2.0</v>
      </c>
      <c r="B4" s="20"/>
      <c r="C4" s="21" t="s">
        <v>24</v>
      </c>
      <c r="D4" s="22">
        <v>42249.0</v>
      </c>
      <c r="E4" s="23" t="s">
        <v>19</v>
      </c>
      <c r="F4" s="14">
        <v>42377.0</v>
      </c>
      <c r="G4" s="24">
        <v>406108.0</v>
      </c>
      <c r="H4" s="25" t="str">
        <f>hyperlink("https://drive.google.com/file/d/1zXwTOBXFPH6HP8N11fc-lM4GaSXcP40B/view?usp=drivesdk","4628-CHE-2015.pdf")</f>
        <v>4628-CHE-2015.pdf</v>
      </c>
      <c r="I4" s="26">
        <v>44812.0</v>
      </c>
      <c r="J4" s="14"/>
      <c r="K4" s="27" t="s">
        <v>25</v>
      </c>
      <c r="L4" s="28" t="s">
        <v>26</v>
      </c>
      <c r="M4" s="28" t="s">
        <v>22</v>
      </c>
      <c r="N4" s="29" t="s">
        <v>27</v>
      </c>
      <c r="O4" s="30"/>
      <c r="P4" s="23" t="b">
        <v>0</v>
      </c>
      <c r="Q4" s="31" t="s">
        <v>28</v>
      </c>
    </row>
    <row r="5">
      <c r="A5" s="19">
        <v>3.0</v>
      </c>
      <c r="B5" s="20"/>
      <c r="C5" s="21" t="s">
        <v>29</v>
      </c>
      <c r="D5" s="22">
        <v>42314.0</v>
      </c>
      <c r="E5" s="23" t="s">
        <v>19</v>
      </c>
      <c r="F5" s="14">
        <v>42377.0</v>
      </c>
      <c r="G5" s="32">
        <v>420182.0</v>
      </c>
      <c r="H5" s="33" t="str">
        <f>hyperlink("https://drive.google.com/file/d/1K_OH0fHFNZSdy03IaerD-RtBqXsYyKF5/view?usp=drivesdk","5664-CHE-2015.pdf")</f>
        <v>5664-CHE-2015.pdf</v>
      </c>
      <c r="I5" s="26">
        <v>44959.0</v>
      </c>
      <c r="J5" s="14"/>
      <c r="K5" s="27" t="s">
        <v>30</v>
      </c>
      <c r="L5" s="28" t="s">
        <v>31</v>
      </c>
      <c r="M5" s="28" t="s">
        <v>32</v>
      </c>
      <c r="N5" s="29" t="s">
        <v>33</v>
      </c>
      <c r="O5" s="34"/>
      <c r="P5" s="35" t="b">
        <v>0</v>
      </c>
      <c r="Q5" s="31" t="s">
        <v>28</v>
      </c>
    </row>
    <row r="6" ht="23.25" customHeight="1">
      <c r="A6" s="19">
        <v>4.0</v>
      </c>
      <c r="B6" s="20"/>
      <c r="C6" s="21" t="s">
        <v>34</v>
      </c>
      <c r="D6" s="22">
        <v>42396.0</v>
      </c>
      <c r="E6" s="23" t="s">
        <v>19</v>
      </c>
      <c r="F6" s="14">
        <v>42377.0</v>
      </c>
      <c r="G6" s="23">
        <v>523519.0</v>
      </c>
      <c r="H6" s="25" t="str">
        <f>hyperlink("https://drive.google.com/file/d/1XYa-lnY_18cupj06sgEhsOw_QB1c5SOE/view?usp=drivesdk","6024-CHE-2015.pdf")</f>
        <v>6024-CHE-2015.pdf</v>
      </c>
      <c r="I6" s="26">
        <v>44237.0</v>
      </c>
      <c r="J6" s="14">
        <v>45638.0</v>
      </c>
      <c r="K6" s="27" t="s">
        <v>35</v>
      </c>
      <c r="L6" s="28" t="s">
        <v>36</v>
      </c>
      <c r="M6" s="28" t="s">
        <v>32</v>
      </c>
      <c r="N6" s="29" t="s">
        <v>37</v>
      </c>
      <c r="O6" s="34"/>
      <c r="P6" s="35" t="b">
        <v>0</v>
      </c>
      <c r="Q6" s="34"/>
    </row>
    <row r="7" ht="23.25" customHeight="1">
      <c r="A7" s="19">
        <v>5.0</v>
      </c>
      <c r="B7" s="20"/>
      <c r="C7" s="21">
        <v>2.01641002919E11</v>
      </c>
      <c r="D7" s="22">
        <v>42649.0</v>
      </c>
      <c r="E7" s="23" t="s">
        <v>19</v>
      </c>
      <c r="F7" s="14">
        <v>42748.0</v>
      </c>
      <c r="G7" s="23">
        <v>358255.0</v>
      </c>
      <c r="H7" s="25" t="str">
        <f>hyperlink("https://drive.google.com/file/d/1GWrCo0Tn9991huFLagAA9Nn4XSniaGVs/view?usp=drivesdk","201641002919.pdf")</f>
        <v>201641002919.pdf</v>
      </c>
      <c r="I7" s="26">
        <v>44237.0</v>
      </c>
      <c r="J7" s="14">
        <v>45684.0</v>
      </c>
      <c r="K7" s="27" t="s">
        <v>38</v>
      </c>
      <c r="L7" s="28" t="s">
        <v>39</v>
      </c>
      <c r="M7" s="28" t="s">
        <v>32</v>
      </c>
      <c r="N7" s="29" t="s">
        <v>40</v>
      </c>
      <c r="O7" s="34"/>
      <c r="P7" s="23" t="b">
        <v>0</v>
      </c>
      <c r="Q7" s="34"/>
    </row>
    <row r="8" ht="23.25" customHeight="1">
      <c r="A8" s="23">
        <v>6.0</v>
      </c>
      <c r="B8" s="20"/>
      <c r="C8" s="21">
        <v>2.01641031477E11</v>
      </c>
      <c r="D8" s="22">
        <v>42628.0</v>
      </c>
      <c r="E8" s="23" t="s">
        <v>19</v>
      </c>
      <c r="F8" s="22">
        <v>42678.0</v>
      </c>
      <c r="G8" s="23">
        <v>545717.0</v>
      </c>
      <c r="H8" s="36" t="s">
        <v>41</v>
      </c>
      <c r="I8" s="26" t="s">
        <v>42</v>
      </c>
      <c r="J8" s="14"/>
      <c r="K8" s="27" t="s">
        <v>43</v>
      </c>
      <c r="L8" s="28" t="s">
        <v>44</v>
      </c>
      <c r="M8" s="28" t="s">
        <v>45</v>
      </c>
      <c r="N8" s="29" t="s">
        <v>46</v>
      </c>
      <c r="O8" s="34"/>
      <c r="P8" s="23" t="b">
        <v>0</v>
      </c>
      <c r="Q8" s="37"/>
    </row>
    <row r="9" ht="23.25" customHeight="1">
      <c r="A9" s="19">
        <v>7.0</v>
      </c>
      <c r="B9" s="20"/>
      <c r="C9" s="21">
        <v>2.01641034228E11</v>
      </c>
      <c r="D9" s="22">
        <v>42831.0</v>
      </c>
      <c r="E9" s="23" t="s">
        <v>19</v>
      </c>
      <c r="F9" s="14">
        <v>42748.0</v>
      </c>
      <c r="G9" s="23">
        <v>428096.0</v>
      </c>
      <c r="H9" s="33" t="str">
        <f>hyperlink("https://drive.google.com/file/d/1g5MlkofmELb8Qww_cfThD1T01l5M5rja/view?usp=drivesdk","201641034228.pdf")</f>
        <v>201641034228.pdf</v>
      </c>
      <c r="I9" s="26" t="s">
        <v>47</v>
      </c>
      <c r="J9" s="14">
        <v>45571.0</v>
      </c>
      <c r="K9" s="27" t="s">
        <v>48</v>
      </c>
      <c r="L9" s="28" t="s">
        <v>49</v>
      </c>
      <c r="M9" s="28" t="s">
        <v>32</v>
      </c>
      <c r="N9" s="29" t="s">
        <v>50</v>
      </c>
      <c r="O9" s="34"/>
      <c r="P9" s="23" t="b">
        <v>0</v>
      </c>
      <c r="Q9" s="37"/>
    </row>
    <row r="10" ht="23.25" customHeight="1">
      <c r="A10" s="19">
        <v>8.0</v>
      </c>
      <c r="B10" s="20"/>
      <c r="C10" s="21">
        <v>2.01641034226E11</v>
      </c>
      <c r="D10" s="22">
        <v>42831.0</v>
      </c>
      <c r="E10" s="23" t="s">
        <v>19</v>
      </c>
      <c r="F10" s="14">
        <v>43385.0</v>
      </c>
      <c r="G10" s="23">
        <v>510042.0</v>
      </c>
      <c r="H10" s="25" t="str">
        <f>hyperlink("https://drive.google.com/file/d/1bY9QORHRJy7MytcY37ExBV43IBKxQytQ/view?usp=drivesdk","201641034226.pdf")</f>
        <v>201641034226.pdf</v>
      </c>
      <c r="I10" s="26">
        <v>45348.0</v>
      </c>
      <c r="J10" s="14">
        <v>45609.0</v>
      </c>
      <c r="K10" s="27" t="s">
        <v>51</v>
      </c>
      <c r="L10" s="28" t="s">
        <v>52</v>
      </c>
      <c r="M10" s="28" t="s">
        <v>45</v>
      </c>
      <c r="N10" s="29" t="s">
        <v>53</v>
      </c>
      <c r="O10" s="34"/>
      <c r="P10" s="23" t="b">
        <v>0</v>
      </c>
      <c r="Q10" s="37"/>
    </row>
    <row r="11" ht="23.25" customHeight="1">
      <c r="A11" s="19">
        <v>9.0</v>
      </c>
      <c r="B11" s="20"/>
      <c r="C11" s="21">
        <v>2.01641034227E11</v>
      </c>
      <c r="D11" s="14">
        <v>43368.0</v>
      </c>
      <c r="E11" s="23" t="s">
        <v>19</v>
      </c>
      <c r="F11" s="14">
        <v>43385.0</v>
      </c>
      <c r="G11" s="23">
        <v>515379.0</v>
      </c>
      <c r="H11" s="25" t="str">
        <f>hyperlink("https://drive.google.com/file/d/1REgCGsWmDgazeXCJuUeYMRdQHlbQN4hN/view?usp=drivesdk","201641034227.pdf")</f>
        <v>201641034227.pdf</v>
      </c>
      <c r="I11" s="26">
        <v>45348.0</v>
      </c>
      <c r="J11" s="14">
        <v>45622.0</v>
      </c>
      <c r="K11" s="27" t="s">
        <v>54</v>
      </c>
      <c r="L11" s="28" t="s">
        <v>55</v>
      </c>
      <c r="M11" s="28" t="s">
        <v>56</v>
      </c>
      <c r="N11" s="29" t="s">
        <v>57</v>
      </c>
      <c r="O11" s="34"/>
      <c r="P11" s="23" t="b">
        <v>0</v>
      </c>
      <c r="Q11" s="31" t="s">
        <v>58</v>
      </c>
    </row>
    <row r="12" ht="23.25" customHeight="1">
      <c r="A12" s="35">
        <v>10.0</v>
      </c>
      <c r="B12" s="20"/>
      <c r="C12" s="21">
        <v>2.01741016082E11</v>
      </c>
      <c r="D12" s="22">
        <v>42863.0</v>
      </c>
      <c r="E12" s="23" t="s">
        <v>19</v>
      </c>
      <c r="F12" s="14">
        <v>43413.0</v>
      </c>
      <c r="G12" s="23">
        <v>549395.0</v>
      </c>
      <c r="H12" s="19" t="s">
        <v>59</v>
      </c>
      <c r="I12" s="26" t="s">
        <v>60</v>
      </c>
      <c r="J12" s="14"/>
      <c r="K12" s="27" t="s">
        <v>61</v>
      </c>
      <c r="L12" s="28" t="s">
        <v>62</v>
      </c>
      <c r="M12" s="28" t="s">
        <v>63</v>
      </c>
      <c r="N12" s="29" t="s">
        <v>64</v>
      </c>
      <c r="O12" s="34"/>
      <c r="P12" s="23" t="b">
        <v>0</v>
      </c>
      <c r="Q12" s="37"/>
    </row>
    <row r="13" ht="23.25" customHeight="1">
      <c r="A13" s="35">
        <v>11.0</v>
      </c>
      <c r="B13" s="20"/>
      <c r="C13" s="21">
        <v>2.01741047107E11</v>
      </c>
      <c r="D13" s="22">
        <v>43097.0</v>
      </c>
      <c r="E13" s="23" t="s">
        <v>65</v>
      </c>
      <c r="F13" s="14">
        <v>43651.0</v>
      </c>
      <c r="G13" s="23"/>
      <c r="H13" s="38"/>
      <c r="I13" s="26"/>
      <c r="J13" s="39"/>
      <c r="K13" s="27" t="s">
        <v>66</v>
      </c>
      <c r="L13" s="28" t="s">
        <v>67</v>
      </c>
      <c r="M13" s="28" t="s">
        <v>56</v>
      </c>
      <c r="N13" s="29" t="s">
        <v>68</v>
      </c>
      <c r="O13" s="34"/>
      <c r="P13" s="23" t="b">
        <v>0</v>
      </c>
      <c r="Q13" s="37"/>
    </row>
    <row r="14" ht="23.25" customHeight="1">
      <c r="A14" s="35">
        <v>12.0</v>
      </c>
      <c r="B14" s="20"/>
      <c r="C14" s="21">
        <v>2.01841009831E11</v>
      </c>
      <c r="D14" s="22">
        <v>43176.0</v>
      </c>
      <c r="E14" s="40" t="s">
        <v>69</v>
      </c>
      <c r="F14" s="14">
        <v>43728.0</v>
      </c>
      <c r="G14" s="23"/>
      <c r="H14" s="38"/>
      <c r="I14" s="26">
        <v>45310.0</v>
      </c>
      <c r="J14" s="39"/>
      <c r="K14" s="27" t="s">
        <v>70</v>
      </c>
      <c r="L14" s="28" t="s">
        <v>71</v>
      </c>
      <c r="M14" s="28" t="s">
        <v>56</v>
      </c>
      <c r="N14" s="29" t="s">
        <v>72</v>
      </c>
      <c r="O14" s="34"/>
      <c r="P14" s="23" t="b">
        <v>0</v>
      </c>
      <c r="Q14" s="37"/>
    </row>
    <row r="15" ht="23.25" customHeight="1">
      <c r="A15" s="19">
        <v>13.0</v>
      </c>
      <c r="B15" s="20"/>
      <c r="C15" s="21">
        <v>2.01841036078E11</v>
      </c>
      <c r="D15" s="22">
        <v>43733.0</v>
      </c>
      <c r="E15" s="40" t="s">
        <v>19</v>
      </c>
      <c r="F15" s="14">
        <v>43917.0</v>
      </c>
      <c r="G15" s="23">
        <v>501243.0</v>
      </c>
      <c r="H15" s="41" t="str">
        <f>hyperlink("https://drive.google.com/file/d/11D_YuIVB7SzttV_HNoHMWvG32UDQmvoE/view?usp=drivesdk","201841036078.pdf")</f>
        <v>201841036078.pdf</v>
      </c>
      <c r="I15" s="42" t="s">
        <v>73</v>
      </c>
      <c r="J15" s="14">
        <v>45929.0</v>
      </c>
      <c r="K15" s="27" t="s">
        <v>74</v>
      </c>
      <c r="L15" s="28" t="s">
        <v>75</v>
      </c>
      <c r="M15" s="28" t="s">
        <v>56</v>
      </c>
      <c r="N15" s="29" t="s">
        <v>76</v>
      </c>
      <c r="O15" s="34"/>
      <c r="P15" s="35" t="b">
        <v>0</v>
      </c>
      <c r="Q15" s="37"/>
    </row>
    <row r="16" ht="23.25" customHeight="1">
      <c r="A16" s="35">
        <v>14.0</v>
      </c>
      <c r="B16" s="20"/>
      <c r="C16" s="21">
        <v>2.0194100379E11</v>
      </c>
      <c r="D16" s="22">
        <v>43495.0</v>
      </c>
      <c r="E16" s="40" t="s">
        <v>65</v>
      </c>
      <c r="F16" s="14">
        <v>44043.0</v>
      </c>
      <c r="G16" s="23"/>
      <c r="H16" s="38"/>
      <c r="I16" s="26"/>
      <c r="J16" s="14"/>
      <c r="K16" s="27" t="s">
        <v>77</v>
      </c>
      <c r="L16" s="28" t="s">
        <v>78</v>
      </c>
      <c r="M16" s="28" t="s">
        <v>56</v>
      </c>
      <c r="N16" s="29" t="s">
        <v>79</v>
      </c>
      <c r="O16" s="34"/>
      <c r="P16" s="23" t="b">
        <v>0</v>
      </c>
      <c r="Q16" s="34"/>
    </row>
    <row r="17" ht="23.25" customHeight="1">
      <c r="A17" s="35">
        <v>15.0</v>
      </c>
      <c r="B17" s="20"/>
      <c r="C17" s="21">
        <v>2.01941015346E11</v>
      </c>
      <c r="D17" s="22">
        <v>43571.0</v>
      </c>
      <c r="E17" s="40" t="s">
        <v>69</v>
      </c>
      <c r="F17" s="14">
        <v>44127.0</v>
      </c>
      <c r="G17" s="23"/>
      <c r="H17" s="38"/>
      <c r="I17" s="26"/>
      <c r="J17" s="39"/>
      <c r="K17" s="27" t="s">
        <v>80</v>
      </c>
      <c r="L17" s="28" t="s">
        <v>81</v>
      </c>
      <c r="M17" s="28" t="s">
        <v>82</v>
      </c>
      <c r="N17" s="29" t="s">
        <v>83</v>
      </c>
      <c r="O17" s="34"/>
      <c r="P17" s="23" t="b">
        <v>0</v>
      </c>
      <c r="Q17" s="37"/>
    </row>
    <row r="18" ht="23.25" customHeight="1">
      <c r="A18" s="35">
        <v>16.0</v>
      </c>
      <c r="B18" s="20"/>
      <c r="C18" s="21">
        <v>2.0194101587E11</v>
      </c>
      <c r="D18" s="14">
        <v>43577.0</v>
      </c>
      <c r="E18" s="40" t="s">
        <v>19</v>
      </c>
      <c r="F18" s="14">
        <v>44134.0</v>
      </c>
      <c r="G18" s="23">
        <v>555149.0</v>
      </c>
      <c r="H18" s="19">
        <v>2.0194101587E11</v>
      </c>
      <c r="I18" s="26" t="s">
        <v>84</v>
      </c>
      <c r="J18" s="39"/>
      <c r="K18" s="27" t="s">
        <v>85</v>
      </c>
      <c r="L18" s="28" t="s">
        <v>86</v>
      </c>
      <c r="M18" s="28" t="s">
        <v>82</v>
      </c>
      <c r="N18" s="29" t="s">
        <v>87</v>
      </c>
      <c r="O18" s="34"/>
      <c r="P18" s="23" t="b">
        <v>0</v>
      </c>
      <c r="Q18" s="37"/>
    </row>
    <row r="19" ht="23.25" customHeight="1">
      <c r="A19" s="35">
        <v>17.0</v>
      </c>
      <c r="B19" s="20"/>
      <c r="C19" s="21">
        <v>2.01941019361E11</v>
      </c>
      <c r="D19" s="22">
        <v>43600.0</v>
      </c>
      <c r="E19" s="40" t="s">
        <v>65</v>
      </c>
      <c r="F19" s="14">
        <v>44155.0</v>
      </c>
      <c r="G19" s="23"/>
      <c r="H19" s="38"/>
      <c r="I19" s="26"/>
      <c r="J19" s="39"/>
      <c r="K19" s="27" t="s">
        <v>88</v>
      </c>
      <c r="L19" s="28" t="s">
        <v>89</v>
      </c>
      <c r="M19" s="28" t="s">
        <v>56</v>
      </c>
      <c r="N19" s="29" t="s">
        <v>87</v>
      </c>
      <c r="O19" s="34"/>
      <c r="P19" s="23" t="b">
        <v>0</v>
      </c>
      <c r="Q19" s="37"/>
    </row>
    <row r="20" ht="23.25" customHeight="1">
      <c r="A20" s="35">
        <v>18.0</v>
      </c>
      <c r="B20" s="20"/>
      <c r="C20" s="21">
        <v>2.01941019644E11</v>
      </c>
      <c r="D20" s="22">
        <v>43602.0</v>
      </c>
      <c r="E20" s="40" t="s">
        <v>90</v>
      </c>
      <c r="F20" s="14">
        <v>44155.0</v>
      </c>
      <c r="G20" s="23"/>
      <c r="H20" s="38"/>
      <c r="I20" s="26"/>
      <c r="J20" s="39"/>
      <c r="K20" s="27" t="s">
        <v>91</v>
      </c>
      <c r="L20" s="27" t="s">
        <v>92</v>
      </c>
      <c r="M20" s="28" t="s">
        <v>56</v>
      </c>
      <c r="N20" s="29" t="s">
        <v>93</v>
      </c>
      <c r="O20" s="43"/>
      <c r="P20" s="23" t="b">
        <v>0</v>
      </c>
      <c r="Q20" s="37"/>
    </row>
    <row r="21" ht="23.25" customHeight="1">
      <c r="A21" s="19">
        <v>19.0</v>
      </c>
      <c r="B21" s="20"/>
      <c r="C21" s="21">
        <v>2.01941038623E11</v>
      </c>
      <c r="D21" s="22">
        <v>43799.0</v>
      </c>
      <c r="E21" s="40" t="s">
        <v>19</v>
      </c>
      <c r="F21" s="14">
        <v>44281.0</v>
      </c>
      <c r="G21" s="40">
        <v>529440.0</v>
      </c>
      <c r="H21" s="25" t="str">
        <f>hyperlink("https://drive.google.com/file/d/1E_p8ZiFLO0UNTbeNockcr8BaMzUPRh1X/view?usp=drivesdk","201941038623.pdf")</f>
        <v>201941038623.pdf</v>
      </c>
      <c r="I21" s="26">
        <v>45372.0</v>
      </c>
      <c r="J21" s="14">
        <v>45647.0</v>
      </c>
      <c r="K21" s="27" t="s">
        <v>94</v>
      </c>
      <c r="L21" s="27" t="s">
        <v>95</v>
      </c>
      <c r="M21" s="28" t="s">
        <v>96</v>
      </c>
      <c r="N21" s="29" t="s">
        <v>97</v>
      </c>
      <c r="O21" s="34"/>
      <c r="P21" s="23" t="b">
        <v>0</v>
      </c>
      <c r="Q21" s="44" t="s">
        <v>98</v>
      </c>
    </row>
    <row r="22" ht="23.25" customHeight="1">
      <c r="A22" s="35">
        <v>20.0</v>
      </c>
      <c r="B22" s="20"/>
      <c r="C22" s="21">
        <v>2.01941042017E11</v>
      </c>
      <c r="D22" s="22">
        <v>43755.0</v>
      </c>
      <c r="E22" s="23" t="s">
        <v>99</v>
      </c>
      <c r="F22" s="14">
        <v>43763.0</v>
      </c>
      <c r="G22" s="23"/>
      <c r="H22" s="19" t="s">
        <v>100</v>
      </c>
      <c r="I22" s="26"/>
      <c r="J22" s="14"/>
      <c r="K22" s="27" t="s">
        <v>101</v>
      </c>
      <c r="L22" s="28" t="s">
        <v>102</v>
      </c>
      <c r="M22" s="28" t="s">
        <v>56</v>
      </c>
      <c r="N22" s="29" t="s">
        <v>103</v>
      </c>
      <c r="O22" s="34"/>
      <c r="P22" s="35" t="b">
        <v>0</v>
      </c>
      <c r="Q22" s="37"/>
    </row>
    <row r="23" ht="23.25" customHeight="1">
      <c r="A23" s="35">
        <v>21.0</v>
      </c>
      <c r="B23" s="20"/>
      <c r="C23" s="21">
        <v>2.0194104437E11</v>
      </c>
      <c r="D23" s="14">
        <v>43770.0</v>
      </c>
      <c r="E23" s="40" t="s">
        <v>104</v>
      </c>
      <c r="F23" s="14">
        <v>44358.0</v>
      </c>
      <c r="G23" s="40"/>
      <c r="H23" s="38"/>
      <c r="I23" s="26"/>
      <c r="J23" s="39"/>
      <c r="K23" s="27" t="s">
        <v>105</v>
      </c>
      <c r="L23" s="27" t="s">
        <v>106</v>
      </c>
      <c r="M23" s="28" t="s">
        <v>56</v>
      </c>
      <c r="N23" s="29" t="s">
        <v>107</v>
      </c>
      <c r="O23" s="34"/>
      <c r="P23" s="23" t="b">
        <v>0</v>
      </c>
      <c r="Q23" s="34"/>
    </row>
    <row r="24" ht="23.25" customHeight="1">
      <c r="A24" s="19">
        <v>22.0</v>
      </c>
      <c r="B24" s="20"/>
      <c r="C24" s="21">
        <v>2.01941049309E11</v>
      </c>
      <c r="D24" s="22">
        <v>44334.0</v>
      </c>
      <c r="E24" s="40" t="s">
        <v>19</v>
      </c>
      <c r="F24" s="14">
        <v>44351.0</v>
      </c>
      <c r="G24" s="40">
        <v>530853.0</v>
      </c>
      <c r="H24" s="33" t="str">
        <f>hyperlink("https://drive.google.com/file/d/1rMDnqxhuiUldhzCcCfh4ILxELCr_qC90/view?usp=drivesdk","201941049309.pdf")</f>
        <v>201941049309.pdf</v>
      </c>
      <c r="I24" s="26">
        <v>45379.0</v>
      </c>
      <c r="J24" s="14">
        <v>45654.0</v>
      </c>
      <c r="K24" s="27" t="s">
        <v>108</v>
      </c>
      <c r="L24" s="27" t="s">
        <v>109</v>
      </c>
      <c r="M24" s="28" t="s">
        <v>110</v>
      </c>
      <c r="N24" s="29" t="s">
        <v>111</v>
      </c>
      <c r="O24" s="34"/>
      <c r="P24" s="23" t="b">
        <v>0</v>
      </c>
      <c r="Q24" s="37"/>
    </row>
    <row r="25" ht="23.25" customHeight="1">
      <c r="A25" s="35">
        <v>23.0</v>
      </c>
      <c r="B25" s="20"/>
      <c r="C25" s="21">
        <v>2.02041038408E11</v>
      </c>
      <c r="D25" s="22">
        <v>44079.0</v>
      </c>
      <c r="E25" s="40" t="s">
        <v>112</v>
      </c>
      <c r="F25" s="14">
        <v>44981.0</v>
      </c>
      <c r="G25" s="40"/>
      <c r="H25" s="38"/>
      <c r="I25" s="26"/>
      <c r="J25" s="14"/>
      <c r="K25" s="27" t="s">
        <v>113</v>
      </c>
      <c r="L25" s="27" t="s">
        <v>114</v>
      </c>
      <c r="M25" s="28" t="s">
        <v>115</v>
      </c>
      <c r="N25" s="29" t="s">
        <v>116</v>
      </c>
      <c r="O25" s="34"/>
      <c r="P25" s="23" t="b">
        <v>0</v>
      </c>
      <c r="Q25" s="37"/>
    </row>
    <row r="26" ht="23.25" customHeight="1">
      <c r="A26" s="35">
        <v>24.0</v>
      </c>
      <c r="B26" s="20"/>
      <c r="C26" s="21">
        <v>2.02141022036E11</v>
      </c>
      <c r="D26" s="22">
        <v>44333.0</v>
      </c>
      <c r="E26" s="40" t="s">
        <v>112</v>
      </c>
      <c r="F26" s="14">
        <v>44358.0</v>
      </c>
      <c r="G26" s="40"/>
      <c r="H26" s="45"/>
      <c r="I26" s="26"/>
      <c r="J26" s="14"/>
      <c r="K26" s="27" t="s">
        <v>117</v>
      </c>
      <c r="L26" s="27" t="s">
        <v>118</v>
      </c>
      <c r="M26" s="28" t="s">
        <v>119</v>
      </c>
      <c r="N26" s="29" t="s">
        <v>120</v>
      </c>
      <c r="O26" s="34"/>
      <c r="P26" s="23" t="b">
        <v>0</v>
      </c>
      <c r="Q26" s="37"/>
    </row>
    <row r="27" ht="23.25" customHeight="1">
      <c r="A27" s="19">
        <v>25.0</v>
      </c>
      <c r="B27" s="20"/>
      <c r="C27" s="46">
        <v>2.02141022278E11</v>
      </c>
      <c r="D27" s="22">
        <v>44532.0</v>
      </c>
      <c r="E27" s="40" t="s">
        <v>19</v>
      </c>
      <c r="F27" s="14">
        <v>44358.0</v>
      </c>
      <c r="G27" s="23">
        <v>457268.0</v>
      </c>
      <c r="H27" s="33" t="str">
        <f>hyperlink("https://drive.google.com/file/d/1MKISAFaurPF3O32ePgox4SjrdDh2unNk/view?usp=drivesdk","202141022278.pdf")</f>
        <v>202141022278.pdf</v>
      </c>
      <c r="I27" s="26">
        <v>45087.0</v>
      </c>
      <c r="J27" s="14">
        <v>45795.0</v>
      </c>
      <c r="K27" s="27" t="s">
        <v>121</v>
      </c>
      <c r="L27" s="27" t="s">
        <v>122</v>
      </c>
      <c r="M27" s="28" t="s">
        <v>123</v>
      </c>
      <c r="N27" s="29" t="s">
        <v>124</v>
      </c>
      <c r="O27" s="34"/>
      <c r="P27" s="23" t="b">
        <v>0</v>
      </c>
      <c r="Q27" s="37"/>
    </row>
    <row r="28" ht="23.25" customHeight="1">
      <c r="A28" s="35">
        <v>26.0</v>
      </c>
      <c r="B28" s="20"/>
      <c r="C28" s="21">
        <v>2.02141027836E11</v>
      </c>
      <c r="D28" s="22">
        <v>44368.0</v>
      </c>
      <c r="E28" s="40" t="s">
        <v>112</v>
      </c>
      <c r="F28" s="14">
        <v>44386.0</v>
      </c>
      <c r="G28" s="40"/>
      <c r="H28" s="38"/>
      <c r="I28" s="26"/>
      <c r="J28" s="14"/>
      <c r="K28" s="27" t="s">
        <v>125</v>
      </c>
      <c r="L28" s="27" t="s">
        <v>126</v>
      </c>
      <c r="M28" s="28" t="s">
        <v>127</v>
      </c>
      <c r="N28" s="29" t="s">
        <v>128</v>
      </c>
      <c r="O28" s="34"/>
      <c r="P28" s="23" t="b">
        <v>0</v>
      </c>
      <c r="Q28" s="37"/>
    </row>
    <row r="29" ht="23.25" customHeight="1">
      <c r="A29" s="35">
        <v>27.0</v>
      </c>
      <c r="B29" s="20"/>
      <c r="C29" s="21">
        <v>2.02141029982E11</v>
      </c>
      <c r="D29" s="22">
        <v>44381.0</v>
      </c>
      <c r="E29" s="23" t="s">
        <v>112</v>
      </c>
      <c r="F29" s="14">
        <v>44393.0</v>
      </c>
      <c r="G29" s="40"/>
      <c r="H29" s="38"/>
      <c r="I29" s="26"/>
      <c r="J29" s="39"/>
      <c r="K29" s="27" t="s">
        <v>129</v>
      </c>
      <c r="L29" s="27" t="s">
        <v>130</v>
      </c>
      <c r="M29" s="27" t="s">
        <v>56</v>
      </c>
      <c r="N29" s="44" t="s">
        <v>131</v>
      </c>
      <c r="O29" s="34"/>
      <c r="P29" s="23" t="b">
        <v>0</v>
      </c>
      <c r="Q29" s="37"/>
    </row>
    <row r="30" ht="23.25" customHeight="1">
      <c r="A30" s="35">
        <v>28.0</v>
      </c>
      <c r="B30" s="20"/>
      <c r="C30" s="21">
        <v>2.02141029981E11</v>
      </c>
      <c r="D30" s="22">
        <v>44381.0</v>
      </c>
      <c r="E30" s="40" t="s">
        <v>112</v>
      </c>
      <c r="F30" s="14">
        <v>44393.0</v>
      </c>
      <c r="G30" s="40"/>
      <c r="H30" s="38"/>
      <c r="I30" s="26"/>
      <c r="J30" s="39"/>
      <c r="K30" s="27" t="s">
        <v>132</v>
      </c>
      <c r="L30" s="27" t="s">
        <v>133</v>
      </c>
      <c r="M30" s="27" t="s">
        <v>134</v>
      </c>
      <c r="N30" s="44" t="s">
        <v>135</v>
      </c>
      <c r="O30" s="34"/>
      <c r="P30" s="23" t="b">
        <v>0</v>
      </c>
      <c r="Q30" s="37"/>
    </row>
    <row r="31" ht="23.25" customHeight="1">
      <c r="A31" s="19">
        <v>29.0</v>
      </c>
      <c r="B31" s="20"/>
      <c r="C31" s="21">
        <v>2.02141055978E11</v>
      </c>
      <c r="D31" s="22">
        <v>44762.0</v>
      </c>
      <c r="E31" s="40" t="s">
        <v>19</v>
      </c>
      <c r="F31" s="14">
        <v>44919.0</v>
      </c>
      <c r="G31" s="23">
        <v>431841.0</v>
      </c>
      <c r="H31" s="33" t="str">
        <f>hyperlink("https://drive.google.com/file/d/1uvPlQQbpy8sRe4vMMCLnB5FpiQ4CLprY/view?usp=drivesdk","202141055978.pdf")</f>
        <v>202141055978.pdf</v>
      </c>
      <c r="I31" s="26">
        <v>45061.0</v>
      </c>
      <c r="J31" s="47">
        <v>45628.0</v>
      </c>
      <c r="K31" s="27" t="s">
        <v>136</v>
      </c>
      <c r="L31" s="27" t="s">
        <v>137</v>
      </c>
      <c r="M31" s="27" t="s">
        <v>138</v>
      </c>
      <c r="N31" s="44" t="s">
        <v>139</v>
      </c>
      <c r="O31" s="34"/>
      <c r="P31" s="23" t="b">
        <v>0</v>
      </c>
      <c r="Q31" s="37"/>
    </row>
    <row r="32" ht="23.25" customHeight="1">
      <c r="A32" s="35">
        <v>30.0</v>
      </c>
      <c r="B32" s="20"/>
      <c r="C32" s="21">
        <v>2.02241010904E11</v>
      </c>
      <c r="D32" s="22">
        <v>44621.0</v>
      </c>
      <c r="E32" s="40" t="s">
        <v>112</v>
      </c>
      <c r="F32" s="14">
        <v>44631.0</v>
      </c>
      <c r="G32" s="23"/>
      <c r="H32" s="38"/>
      <c r="I32" s="26"/>
      <c r="J32" s="14"/>
      <c r="K32" s="27" t="s">
        <v>140</v>
      </c>
      <c r="L32" s="27" t="s">
        <v>141</v>
      </c>
      <c r="M32" s="27" t="s">
        <v>56</v>
      </c>
      <c r="N32" s="44" t="s">
        <v>142</v>
      </c>
      <c r="O32" s="34"/>
      <c r="P32" s="23" t="b">
        <v>0</v>
      </c>
      <c r="Q32" s="37"/>
    </row>
    <row r="33" ht="23.25" customHeight="1">
      <c r="A33" s="35">
        <v>31.0</v>
      </c>
      <c r="B33" s="20"/>
      <c r="C33" s="21">
        <v>2.02211018972E11</v>
      </c>
      <c r="D33" s="22">
        <v>44650.0</v>
      </c>
      <c r="E33" s="40" t="s">
        <v>112</v>
      </c>
      <c r="F33" s="14">
        <v>44659.0</v>
      </c>
      <c r="G33" s="23"/>
      <c r="H33" s="38"/>
      <c r="I33" s="26"/>
      <c r="J33" s="39"/>
      <c r="K33" s="27" t="s">
        <v>143</v>
      </c>
      <c r="L33" s="27"/>
      <c r="M33" s="27" t="s">
        <v>144</v>
      </c>
      <c r="N33" s="44" t="s">
        <v>145</v>
      </c>
      <c r="O33" s="34"/>
      <c r="P33" s="23" t="b">
        <v>0</v>
      </c>
      <c r="Q33" s="37"/>
    </row>
    <row r="34" ht="378.0" customHeight="1">
      <c r="A34" s="35">
        <v>32.0</v>
      </c>
      <c r="B34" s="20"/>
      <c r="C34" s="21">
        <v>2.02241021968E11</v>
      </c>
      <c r="D34" s="22">
        <v>44664.0</v>
      </c>
      <c r="E34" s="40" t="s">
        <v>90</v>
      </c>
      <c r="F34" s="14">
        <v>44694.0</v>
      </c>
      <c r="G34" s="23"/>
      <c r="H34" s="38"/>
      <c r="I34" s="26"/>
      <c r="J34" s="39"/>
      <c r="K34" s="27" t="s">
        <v>146</v>
      </c>
      <c r="L34" s="27" t="s">
        <v>147</v>
      </c>
      <c r="M34" s="27" t="s">
        <v>56</v>
      </c>
      <c r="N34" s="44" t="s">
        <v>148</v>
      </c>
      <c r="O34" s="34"/>
      <c r="P34" s="23" t="b">
        <v>0</v>
      </c>
      <c r="Q34" s="37"/>
    </row>
    <row r="35" ht="23.25" customHeight="1">
      <c r="A35" s="35">
        <v>33.0</v>
      </c>
      <c r="B35" s="20"/>
      <c r="C35" s="21">
        <v>2.0224103747E11</v>
      </c>
      <c r="D35" s="22">
        <v>44741.0</v>
      </c>
      <c r="E35" s="23" t="s">
        <v>112</v>
      </c>
      <c r="F35" s="14">
        <v>44764.0</v>
      </c>
      <c r="G35" s="23"/>
      <c r="H35" s="38"/>
      <c r="I35" s="26">
        <v>45418.0</v>
      </c>
      <c r="J35" s="39"/>
      <c r="K35" s="27" t="s">
        <v>149</v>
      </c>
      <c r="L35" s="27" t="s">
        <v>150</v>
      </c>
      <c r="M35" s="27" t="s">
        <v>151</v>
      </c>
      <c r="N35" s="44" t="s">
        <v>144</v>
      </c>
      <c r="O35" s="34"/>
      <c r="P35" s="23" t="b">
        <v>0</v>
      </c>
      <c r="Q35" s="37"/>
    </row>
    <row r="36" ht="23.25" customHeight="1">
      <c r="A36" s="19">
        <v>34.0</v>
      </c>
      <c r="B36" s="20"/>
      <c r="C36" s="21">
        <v>2.02241041436E11</v>
      </c>
      <c r="D36" s="22">
        <v>44972.0</v>
      </c>
      <c r="E36" s="23" t="s">
        <v>19</v>
      </c>
      <c r="F36" s="14">
        <v>44771.0</v>
      </c>
      <c r="G36" s="23">
        <v>536948.0</v>
      </c>
      <c r="H36" s="33" t="str">
        <f>hyperlink("https://drive.google.com/file/d/1NBWLy2g8-LcNzGHQRr-aKYOeQfgeORS0/view?usp=drivesdk","202241041436.pdf")</f>
        <v>202241041436.pdf</v>
      </c>
      <c r="I36" s="26">
        <v>45448.0</v>
      </c>
      <c r="J36" s="48">
        <v>45858.0</v>
      </c>
      <c r="K36" s="27" t="s">
        <v>152</v>
      </c>
      <c r="L36" s="27" t="s">
        <v>153</v>
      </c>
      <c r="M36" s="27" t="s">
        <v>56</v>
      </c>
      <c r="N36" s="44" t="s">
        <v>154</v>
      </c>
      <c r="O36" s="34"/>
      <c r="P36" s="23" t="b">
        <v>0</v>
      </c>
      <c r="Q36" s="37"/>
    </row>
    <row r="37" ht="23.25" customHeight="1">
      <c r="A37" s="35">
        <v>35.0</v>
      </c>
      <c r="B37" s="20"/>
      <c r="C37" s="21">
        <v>2.0224104232E11</v>
      </c>
      <c r="D37" s="14">
        <v>44766.0</v>
      </c>
      <c r="E37" s="23" t="s">
        <v>112</v>
      </c>
      <c r="F37" s="22">
        <v>44771.0</v>
      </c>
      <c r="G37" s="23"/>
      <c r="H37" s="38"/>
      <c r="I37" s="26"/>
      <c r="J37" s="14"/>
      <c r="K37" s="27" t="s">
        <v>155</v>
      </c>
      <c r="L37" s="27" t="s">
        <v>156</v>
      </c>
      <c r="M37" s="27" t="s">
        <v>56</v>
      </c>
      <c r="N37" s="44" t="s">
        <v>151</v>
      </c>
      <c r="O37" s="34"/>
      <c r="P37" s="23" t="b">
        <v>0</v>
      </c>
      <c r="Q37" s="37"/>
    </row>
    <row r="38" ht="23.25" customHeight="1">
      <c r="A38" s="35">
        <v>36.0</v>
      </c>
      <c r="B38" s="20"/>
      <c r="C38" s="49">
        <v>2.0234100796E11</v>
      </c>
      <c r="D38" s="14">
        <v>44964.0</v>
      </c>
      <c r="E38" s="23" t="s">
        <v>65</v>
      </c>
      <c r="F38" s="22">
        <v>44981.0</v>
      </c>
      <c r="G38" s="23"/>
      <c r="H38" s="38"/>
      <c r="I38" s="26">
        <v>45281.0</v>
      </c>
      <c r="J38" s="39"/>
      <c r="K38" s="27" t="s">
        <v>157</v>
      </c>
      <c r="L38" s="27" t="s">
        <v>158</v>
      </c>
      <c r="M38" s="27" t="s">
        <v>56</v>
      </c>
      <c r="N38" s="44" t="s">
        <v>159</v>
      </c>
      <c r="O38" s="34"/>
      <c r="P38" s="23" t="b">
        <v>0</v>
      </c>
      <c r="Q38" s="37"/>
    </row>
    <row r="39" ht="23.25" customHeight="1">
      <c r="A39" s="19">
        <v>37.0</v>
      </c>
      <c r="B39" s="20"/>
      <c r="C39" s="49">
        <v>2.02341010277E11</v>
      </c>
      <c r="D39" s="14">
        <v>44972.0</v>
      </c>
      <c r="E39" s="23" t="s">
        <v>19</v>
      </c>
      <c r="F39" s="22">
        <v>45002.0</v>
      </c>
      <c r="G39" s="50">
        <v>486756.0</v>
      </c>
      <c r="H39" s="33" t="str">
        <f>hyperlink("https://drive.google.com/file/d/1LNEjpISYVgyVgd-j4iTis2pg32PxbgG4/view?usp=drivesdk","202341010277.pdf")</f>
        <v>202341010277.pdf</v>
      </c>
      <c r="I39" s="51">
        <v>45281.0</v>
      </c>
      <c r="J39" s="14">
        <v>46068.0</v>
      </c>
      <c r="K39" s="27" t="s">
        <v>160</v>
      </c>
      <c r="L39" s="27"/>
      <c r="M39" s="52"/>
      <c r="N39" s="44" t="s">
        <v>159</v>
      </c>
      <c r="O39" s="34"/>
      <c r="P39" s="23" t="b">
        <v>0</v>
      </c>
      <c r="Q39" s="37"/>
    </row>
    <row r="40" ht="23.25" customHeight="1">
      <c r="A40" s="35">
        <v>38.0</v>
      </c>
      <c r="B40" s="20"/>
      <c r="C40" s="49">
        <v>2.02341021072E11</v>
      </c>
      <c r="D40" s="14">
        <v>45009.0</v>
      </c>
      <c r="E40" s="23" t="s">
        <v>65</v>
      </c>
      <c r="F40" s="22">
        <v>45149.0</v>
      </c>
      <c r="G40" s="23"/>
      <c r="H40" s="38"/>
      <c r="I40" s="26"/>
      <c r="J40" s="14"/>
      <c r="K40" s="27" t="s">
        <v>161</v>
      </c>
      <c r="L40" s="53"/>
      <c r="M40" s="52"/>
      <c r="N40" s="44" t="s">
        <v>162</v>
      </c>
      <c r="O40" s="54"/>
      <c r="P40" s="35" t="b">
        <v>0</v>
      </c>
      <c r="Q40" s="55"/>
    </row>
    <row r="41" ht="23.25" customHeight="1">
      <c r="A41" s="35">
        <v>39.0</v>
      </c>
      <c r="B41" s="49">
        <v>2.02441023976E11</v>
      </c>
      <c r="C41" s="20"/>
      <c r="D41" s="14">
        <v>45377.0</v>
      </c>
      <c r="E41" s="23" t="s">
        <v>163</v>
      </c>
      <c r="F41" s="14"/>
      <c r="G41" s="56"/>
      <c r="H41" s="38"/>
      <c r="I41" s="26"/>
      <c r="J41" s="39"/>
      <c r="K41" s="27" t="s">
        <v>164</v>
      </c>
      <c r="L41" s="53"/>
      <c r="M41" s="52"/>
      <c r="N41" s="53"/>
      <c r="O41" s="54"/>
      <c r="P41" s="35" t="b">
        <v>0</v>
      </c>
      <c r="Q41" s="54"/>
    </row>
    <row r="42" ht="23.25" customHeight="1">
      <c r="A42" s="35">
        <v>40.0</v>
      </c>
      <c r="B42" s="49">
        <v>2.02441011113E11</v>
      </c>
      <c r="C42" s="20"/>
      <c r="D42" s="14">
        <v>45398.0</v>
      </c>
      <c r="E42" s="23" t="s">
        <v>163</v>
      </c>
      <c r="F42" s="14"/>
      <c r="G42" s="57"/>
      <c r="H42" s="38"/>
      <c r="I42" s="58"/>
      <c r="J42" s="39"/>
      <c r="K42" s="59" t="s">
        <v>165</v>
      </c>
      <c r="L42" s="53"/>
      <c r="M42" s="52"/>
      <c r="N42" s="44" t="s">
        <v>166</v>
      </c>
      <c r="O42" s="54"/>
      <c r="P42" s="35" t="b">
        <v>0</v>
      </c>
      <c r="Q42" s="54"/>
    </row>
    <row r="43" ht="23.25" customHeight="1">
      <c r="A43" s="35">
        <v>41.0</v>
      </c>
      <c r="B43" s="60"/>
      <c r="C43" s="49" t="s">
        <v>167</v>
      </c>
      <c r="D43" s="14">
        <v>42332.0</v>
      </c>
      <c r="E43" s="23" t="s">
        <v>104</v>
      </c>
      <c r="F43" s="14">
        <v>42583.0</v>
      </c>
      <c r="G43" s="57"/>
      <c r="H43" s="38"/>
      <c r="I43" s="58"/>
      <c r="J43" s="39"/>
      <c r="K43" s="61" t="s">
        <v>168</v>
      </c>
      <c r="L43" s="53"/>
      <c r="M43" s="52"/>
      <c r="N43" s="44"/>
      <c r="O43" s="54"/>
      <c r="P43" s="35" t="b">
        <v>0</v>
      </c>
      <c r="Q43" s="54"/>
    </row>
    <row r="44" ht="23.25" customHeight="1">
      <c r="A44" s="35">
        <v>42.0</v>
      </c>
      <c r="B44" s="62"/>
      <c r="C44" s="49">
        <v>2.02441080835E11</v>
      </c>
      <c r="D44" s="14">
        <v>45588.0</v>
      </c>
      <c r="E44" s="23" t="s">
        <v>169</v>
      </c>
      <c r="F44" s="14"/>
      <c r="G44" s="57"/>
      <c r="H44" s="38"/>
      <c r="I44" s="58"/>
      <c r="J44" s="39"/>
      <c r="K44" s="61"/>
      <c r="L44" s="53"/>
      <c r="M44" s="52"/>
      <c r="N44" s="44"/>
      <c r="O44" s="54"/>
      <c r="P44" s="35" t="b">
        <v>0</v>
      </c>
      <c r="Q44" s="54"/>
    </row>
    <row r="45" ht="23.25" customHeight="1">
      <c r="A45" s="35">
        <v>43.0</v>
      </c>
      <c r="B45" s="62"/>
      <c r="C45" s="49">
        <v>2.02441080836E11</v>
      </c>
      <c r="D45" s="14">
        <v>45588.0</v>
      </c>
      <c r="E45" s="23" t="s">
        <v>169</v>
      </c>
      <c r="F45" s="14"/>
      <c r="G45" s="57"/>
      <c r="H45" s="38"/>
      <c r="I45" s="58"/>
      <c r="J45" s="39"/>
      <c r="K45" s="61"/>
      <c r="L45" s="53"/>
      <c r="M45" s="52"/>
      <c r="N45" s="44"/>
      <c r="O45" s="54"/>
      <c r="P45" s="35" t="b">
        <v>0</v>
      </c>
      <c r="Q45" s="54"/>
    </row>
    <row r="46" ht="23.25" customHeight="1">
      <c r="A46" s="35">
        <v>44.0</v>
      </c>
      <c r="B46" s="62"/>
      <c r="C46" s="49">
        <v>2.02441080837E11</v>
      </c>
      <c r="D46" s="14">
        <v>45588.0</v>
      </c>
      <c r="E46" s="23" t="s">
        <v>169</v>
      </c>
      <c r="F46" s="14"/>
      <c r="G46" s="57"/>
      <c r="H46" s="38"/>
      <c r="I46" s="58"/>
      <c r="J46" s="39"/>
      <c r="K46" s="61"/>
      <c r="L46" s="53"/>
      <c r="M46" s="52"/>
      <c r="N46" s="44"/>
      <c r="O46" s="54"/>
      <c r="P46" s="35" t="b">
        <v>0</v>
      </c>
      <c r="Q46" s="54"/>
    </row>
    <row r="47" ht="23.25" customHeight="1">
      <c r="A47" s="35">
        <v>45.0</v>
      </c>
      <c r="B47" s="62"/>
      <c r="C47" s="49">
        <v>2.02441080838E11</v>
      </c>
      <c r="D47" s="14">
        <v>45588.0</v>
      </c>
      <c r="E47" s="23" t="s">
        <v>169</v>
      </c>
      <c r="F47" s="14"/>
      <c r="G47" s="57"/>
      <c r="H47" s="38"/>
      <c r="I47" s="58"/>
      <c r="J47" s="39"/>
      <c r="K47" s="61"/>
      <c r="L47" s="53"/>
      <c r="M47" s="52"/>
      <c r="N47" s="44"/>
      <c r="O47" s="54"/>
      <c r="P47" s="35" t="b">
        <v>0</v>
      </c>
      <c r="Q47" s="54"/>
    </row>
    <row r="48" ht="23.25" customHeight="1">
      <c r="A48" s="35">
        <v>46.0</v>
      </c>
      <c r="B48" s="62"/>
      <c r="C48" s="49">
        <v>2.02441080839E11</v>
      </c>
      <c r="D48" s="14">
        <v>45588.0</v>
      </c>
      <c r="E48" s="23" t="s">
        <v>169</v>
      </c>
      <c r="F48" s="14"/>
      <c r="G48" s="57"/>
      <c r="H48" s="38"/>
      <c r="I48" s="58"/>
      <c r="J48" s="39"/>
      <c r="K48" s="61"/>
      <c r="L48" s="53"/>
      <c r="M48" s="52"/>
      <c r="N48" s="44"/>
      <c r="O48" s="54"/>
      <c r="P48" s="35" t="b">
        <v>0</v>
      </c>
      <c r="Q48" s="54"/>
    </row>
    <row r="49" ht="23.25" customHeight="1">
      <c r="A49" s="35">
        <v>47.0</v>
      </c>
      <c r="B49" s="62"/>
      <c r="C49" s="49">
        <v>2.02441087833E11</v>
      </c>
      <c r="D49" s="14"/>
      <c r="E49" s="23" t="s">
        <v>169</v>
      </c>
      <c r="F49" s="14"/>
      <c r="G49" s="57"/>
      <c r="H49" s="38"/>
      <c r="I49" s="58"/>
      <c r="J49" s="39"/>
      <c r="K49" s="61"/>
      <c r="L49" s="53"/>
      <c r="M49" s="52"/>
      <c r="N49" s="44"/>
      <c r="O49" s="54"/>
      <c r="P49" s="35" t="b">
        <v>0</v>
      </c>
      <c r="Q49" s="54"/>
    </row>
    <row r="50" ht="23.25" customHeight="1">
      <c r="A50" s="35">
        <v>48.0</v>
      </c>
      <c r="B50" s="62"/>
      <c r="C50" s="49">
        <v>2.02441082545E11</v>
      </c>
      <c r="D50" s="14"/>
      <c r="E50" s="23" t="s">
        <v>169</v>
      </c>
      <c r="F50" s="14"/>
      <c r="G50" s="57"/>
      <c r="H50" s="38"/>
      <c r="I50" s="58"/>
      <c r="J50" s="39"/>
      <c r="K50" s="61"/>
      <c r="L50" s="53"/>
      <c r="M50" s="52"/>
      <c r="N50" s="44"/>
      <c r="O50" s="54"/>
      <c r="P50" s="35" t="b">
        <v>0</v>
      </c>
      <c r="Q50" s="54"/>
    </row>
    <row r="51" ht="23.25" customHeight="1">
      <c r="A51" s="35">
        <v>49.0</v>
      </c>
      <c r="B51" s="62"/>
      <c r="C51" s="49">
        <v>2.02441090217E11</v>
      </c>
      <c r="D51" s="14"/>
      <c r="E51" s="23" t="s">
        <v>169</v>
      </c>
      <c r="F51" s="14"/>
      <c r="G51" s="57"/>
      <c r="H51" s="38"/>
      <c r="I51" s="58"/>
      <c r="J51" s="39"/>
      <c r="K51" s="61"/>
      <c r="L51" s="53"/>
      <c r="M51" s="52"/>
      <c r="N51" s="44"/>
      <c r="O51" s="54"/>
      <c r="P51" s="35" t="b">
        <v>0</v>
      </c>
      <c r="Q51" s="54"/>
    </row>
    <row r="52" ht="23.25" customHeight="1">
      <c r="A52" s="35">
        <v>50.0</v>
      </c>
      <c r="B52" s="62"/>
      <c r="C52" s="49">
        <v>2.02441090216E11</v>
      </c>
      <c r="D52" s="14"/>
      <c r="E52" s="23" t="s">
        <v>169</v>
      </c>
      <c r="F52" s="14"/>
      <c r="G52" s="57"/>
      <c r="H52" s="38"/>
      <c r="I52" s="58"/>
      <c r="J52" s="39"/>
      <c r="K52" s="61"/>
      <c r="L52" s="53"/>
      <c r="M52" s="52"/>
      <c r="N52" s="44"/>
      <c r="O52" s="54"/>
      <c r="P52" s="35" t="b">
        <v>0</v>
      </c>
      <c r="Q52" s="54"/>
    </row>
    <row r="53" ht="23.25" customHeight="1">
      <c r="A53" s="35">
        <v>51.0</v>
      </c>
      <c r="B53" s="62"/>
      <c r="C53" s="49">
        <v>2.02541020576E11</v>
      </c>
      <c r="D53" s="14">
        <v>45719.0</v>
      </c>
      <c r="E53" s="23" t="s">
        <v>65</v>
      </c>
      <c r="F53" s="14">
        <v>45744.0</v>
      </c>
      <c r="G53" s="57"/>
      <c r="H53" s="38"/>
      <c r="I53" s="58"/>
      <c r="J53" s="39"/>
      <c r="K53" s="61" t="s">
        <v>170</v>
      </c>
      <c r="L53" s="53"/>
      <c r="M53" s="52"/>
      <c r="N53" s="44"/>
      <c r="O53" s="54"/>
      <c r="P53" s="35" t="b">
        <v>0</v>
      </c>
      <c r="Q53" s="54"/>
    </row>
    <row r="54" ht="23.25" customHeight="1">
      <c r="A54" s="35">
        <v>52.0</v>
      </c>
      <c r="B54" s="62"/>
      <c r="C54" s="49">
        <v>2.02541040734E11</v>
      </c>
      <c r="D54" s="48">
        <v>45775.0</v>
      </c>
      <c r="E54" s="23" t="s">
        <v>65</v>
      </c>
      <c r="F54" s="14">
        <v>45849.0</v>
      </c>
      <c r="G54" s="57"/>
      <c r="H54" s="38"/>
      <c r="I54" s="58"/>
      <c r="J54" s="39"/>
      <c r="K54" s="59" t="s">
        <v>171</v>
      </c>
      <c r="L54" s="53"/>
      <c r="M54" s="52"/>
      <c r="N54" s="44"/>
      <c r="O54" s="54"/>
      <c r="P54" s="35" t="b">
        <v>0</v>
      </c>
      <c r="Q54" s="54"/>
    </row>
    <row r="55" ht="23.25" customHeight="1">
      <c r="A55" s="35">
        <v>53.0</v>
      </c>
      <c r="B55" s="62"/>
      <c r="C55" s="49">
        <v>2.02541040554E11</v>
      </c>
      <c r="D55" s="48">
        <v>45773.0</v>
      </c>
      <c r="E55" s="23" t="s">
        <v>65</v>
      </c>
      <c r="F55" s="14">
        <v>45763.0</v>
      </c>
      <c r="G55" s="57"/>
      <c r="H55" s="38"/>
      <c r="I55" s="58"/>
      <c r="J55" s="39"/>
      <c r="K55" s="61" t="s">
        <v>172</v>
      </c>
      <c r="L55" s="53"/>
      <c r="M55" s="52"/>
      <c r="N55" s="44"/>
      <c r="O55" s="54"/>
      <c r="P55" s="35" t="b">
        <v>0</v>
      </c>
      <c r="Q55" s="54"/>
    </row>
    <row r="56" ht="23.25" customHeight="1">
      <c r="A56" s="35">
        <v>54.0</v>
      </c>
      <c r="B56" s="62"/>
      <c r="C56" s="49">
        <v>2.02541099134E11</v>
      </c>
      <c r="D56" s="14"/>
      <c r="E56" s="23" t="s">
        <v>169</v>
      </c>
      <c r="F56" s="14"/>
      <c r="G56" s="57"/>
      <c r="H56" s="38"/>
      <c r="I56" s="58"/>
      <c r="J56" s="39"/>
      <c r="K56" s="59" t="s">
        <v>173</v>
      </c>
      <c r="L56" s="53"/>
      <c r="M56" s="52"/>
      <c r="N56" s="44"/>
      <c r="O56" s="54"/>
      <c r="P56" s="35" t="b">
        <v>0</v>
      </c>
      <c r="Q56" s="63"/>
    </row>
  </sheetData>
  <mergeCells count="1">
    <mergeCell ref="A1:Q1"/>
  </mergeCells>
  <dataValidations>
    <dataValidation type="list" allowBlank="1" showErrorMessage="1" sqref="E3:E56">
      <formula1>"Applied,FER,Granted,Hearing,Filed,Abandoned,AE,FER-RNF,AR,ARFE,RF-AAE,ACS"</formula1>
    </dataValidation>
  </dataValidations>
  <hyperlinks>
    <hyperlink r:id="rId1" ref="A3"/>
    <hyperlink r:id="rId2" ref="C3"/>
    <hyperlink r:id="rId3" ref="A4"/>
    <hyperlink r:id="rId4" ref="C4"/>
    <hyperlink r:id="rId5" ref="A5"/>
    <hyperlink r:id="rId6" ref="C5"/>
    <hyperlink r:id="rId7" ref="A6"/>
    <hyperlink r:id="rId8" ref="C6"/>
    <hyperlink r:id="rId9" ref="A7"/>
    <hyperlink r:id="rId10" ref="C7"/>
    <hyperlink r:id="rId11" ref="C8"/>
    <hyperlink r:id="rId12" ref="A9"/>
    <hyperlink r:id="rId13" ref="C9"/>
    <hyperlink r:id="rId14" ref="A10"/>
    <hyperlink r:id="rId15" ref="C10"/>
    <hyperlink r:id="rId16" ref="A11"/>
    <hyperlink r:id="rId17" ref="C11"/>
    <hyperlink r:id="rId18" ref="C12"/>
    <hyperlink r:id="rId19" ref="H12"/>
    <hyperlink r:id="rId20" ref="C13"/>
    <hyperlink r:id="rId21" ref="C14"/>
    <hyperlink r:id="rId22" ref="A15"/>
    <hyperlink r:id="rId23" ref="C15"/>
    <hyperlink r:id="rId24" ref="C16"/>
    <hyperlink r:id="rId25" ref="C17"/>
    <hyperlink r:id="rId26" ref="C18"/>
    <hyperlink r:id="rId27" ref="H18"/>
    <hyperlink r:id="rId28" ref="C19"/>
    <hyperlink r:id="rId29" ref="C20"/>
    <hyperlink r:id="rId30" ref="A21"/>
    <hyperlink r:id="rId31" ref="C21"/>
    <hyperlink r:id="rId32" ref="C22"/>
    <hyperlink r:id="rId33" ref="H22"/>
    <hyperlink r:id="rId34" ref="C23"/>
    <hyperlink r:id="rId35" ref="A24"/>
    <hyperlink r:id="rId36" ref="C24"/>
    <hyperlink r:id="rId37" ref="C25"/>
    <hyperlink r:id="rId38" ref="C26"/>
    <hyperlink r:id="rId39" ref="A27"/>
    <hyperlink r:id="rId40" ref="C27"/>
    <hyperlink r:id="rId41" ref="C28"/>
    <hyperlink r:id="rId42" ref="C29"/>
    <hyperlink r:id="rId43" ref="C30"/>
    <hyperlink r:id="rId44" ref="A31"/>
    <hyperlink r:id="rId45" ref="C31"/>
    <hyperlink r:id="rId46" ref="C32"/>
    <hyperlink r:id="rId47" ref="C33"/>
    <hyperlink r:id="rId48" ref="C34"/>
    <hyperlink r:id="rId49" ref="C35"/>
    <hyperlink r:id="rId50" ref="A36"/>
    <hyperlink r:id="rId51" ref="C36"/>
    <hyperlink r:id="rId52" ref="C37"/>
    <hyperlink r:id="rId53" ref="C38"/>
    <hyperlink r:id="rId54" ref="A39"/>
    <hyperlink r:id="rId55" ref="C39"/>
    <hyperlink r:id="rId56" ref="C40"/>
    <hyperlink r:id="rId57" ref="B41"/>
    <hyperlink r:id="rId58" ref="B42"/>
    <hyperlink r:id="rId59" ref="C43"/>
    <hyperlink r:id="rId60" ref="C44"/>
    <hyperlink r:id="rId61" ref="C45"/>
    <hyperlink r:id="rId62" ref="C46"/>
    <hyperlink r:id="rId63" ref="C47"/>
    <hyperlink r:id="rId64" ref="C48"/>
    <hyperlink r:id="rId65" ref="C49"/>
    <hyperlink r:id="rId66" ref="C50"/>
    <hyperlink r:id="rId67" ref="C51"/>
    <hyperlink r:id="rId68" ref="C52"/>
    <hyperlink r:id="rId69" ref="C53"/>
    <hyperlink r:id="rId70" ref="C54"/>
    <hyperlink r:id="rId71" ref="C55"/>
    <hyperlink r:id="rId72" ref="C56"/>
  </hyperlinks>
  <printOptions/>
  <pageMargins bottom="0.75" footer="0.0" header="0.0" left="0.7" right="0.7" top="0.75"/>
  <pageSetup orientation="landscape"/>
  <drawing r:id="rId7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4.43" defaultRowHeight="15.0"/>
  <cols>
    <col customWidth="1" min="1" max="1" width="4.86"/>
    <col customWidth="1" min="3" max="3" width="4.29"/>
    <col customWidth="1" min="4" max="10" width="5.14"/>
    <col customWidth="1" min="11" max="20" width="4.71"/>
    <col customWidth="1" min="21" max="21" width="6.43"/>
    <col customWidth="1" min="22" max="22" width="10.29"/>
  </cols>
  <sheetData>
    <row r="1">
      <c r="A1" s="64" t="s">
        <v>1</v>
      </c>
      <c r="B1" s="64" t="s">
        <v>174</v>
      </c>
      <c r="C1" s="65" t="s">
        <v>175</v>
      </c>
      <c r="D1" s="66"/>
      <c r="E1" s="66"/>
      <c r="F1" s="66"/>
      <c r="G1" s="66"/>
      <c r="H1" s="66"/>
      <c r="I1" s="66"/>
      <c r="J1" s="66"/>
      <c r="K1" s="66"/>
      <c r="L1" s="66"/>
      <c r="M1" s="66"/>
      <c r="N1" s="66"/>
      <c r="O1" s="66"/>
      <c r="P1" s="66"/>
      <c r="Q1" s="66"/>
      <c r="R1" s="66"/>
      <c r="S1" s="66"/>
      <c r="T1" s="66"/>
      <c r="U1" s="66"/>
      <c r="V1" s="67"/>
    </row>
    <row r="2">
      <c r="A2" s="68"/>
      <c r="B2" s="68"/>
      <c r="C2" s="69" t="s">
        <v>176</v>
      </c>
      <c r="D2" s="69" t="s">
        <v>177</v>
      </c>
      <c r="E2" s="69" t="s">
        <v>178</v>
      </c>
      <c r="F2" s="69" t="s">
        <v>179</v>
      </c>
      <c r="G2" s="69" t="s">
        <v>180</v>
      </c>
      <c r="H2" s="69" t="s">
        <v>181</v>
      </c>
      <c r="I2" s="69" t="s">
        <v>182</v>
      </c>
      <c r="J2" s="69" t="s">
        <v>183</v>
      </c>
      <c r="K2" s="69" t="s">
        <v>184</v>
      </c>
      <c r="L2" s="69" t="s">
        <v>185</v>
      </c>
      <c r="M2" s="69" t="s">
        <v>186</v>
      </c>
      <c r="N2" s="69" t="s">
        <v>187</v>
      </c>
      <c r="O2" s="69" t="s">
        <v>188</v>
      </c>
      <c r="P2" s="69" t="s">
        <v>189</v>
      </c>
      <c r="Q2" s="69" t="s">
        <v>190</v>
      </c>
      <c r="R2" s="69" t="s">
        <v>191</v>
      </c>
      <c r="S2" s="69" t="s">
        <v>192</v>
      </c>
      <c r="T2" s="69" t="s">
        <v>193</v>
      </c>
      <c r="U2" s="70" t="s">
        <v>194</v>
      </c>
      <c r="V2" s="70" t="s">
        <v>195</v>
      </c>
    </row>
    <row r="3">
      <c r="A3" s="71">
        <v>1.0</v>
      </c>
      <c r="B3" s="71" t="s">
        <v>18</v>
      </c>
      <c r="C3" s="23">
        <v>800.0</v>
      </c>
      <c r="D3" s="23">
        <v>800.0</v>
      </c>
      <c r="E3" s="23">
        <v>800.0</v>
      </c>
      <c r="F3" s="23">
        <v>800.0</v>
      </c>
      <c r="G3" s="23">
        <v>2400.0</v>
      </c>
      <c r="H3" s="23">
        <v>2400.0</v>
      </c>
      <c r="I3" s="23">
        <v>2400.0</v>
      </c>
      <c r="J3" s="23">
        <v>2400.0</v>
      </c>
      <c r="K3" s="72"/>
      <c r="L3" s="72"/>
      <c r="M3" s="72"/>
      <c r="N3" s="72"/>
      <c r="O3" s="72"/>
      <c r="P3" s="72"/>
      <c r="Q3" s="72"/>
      <c r="R3" s="72"/>
      <c r="S3" s="72"/>
      <c r="T3" s="72"/>
      <c r="U3" s="72">
        <f t="shared" ref="U3:U17" si="1">SUM(C3:T3)</f>
        <v>12800</v>
      </c>
      <c r="V3" s="48">
        <v>45776.0</v>
      </c>
    </row>
    <row r="4">
      <c r="A4" s="71">
        <v>2.0</v>
      </c>
      <c r="B4" s="71" t="s">
        <v>24</v>
      </c>
      <c r="C4" s="23">
        <v>800.0</v>
      </c>
      <c r="D4" s="23">
        <v>800.0</v>
      </c>
      <c r="E4" s="23">
        <v>800.0</v>
      </c>
      <c r="F4" s="23">
        <v>800.0</v>
      </c>
      <c r="G4" s="23">
        <v>2400.0</v>
      </c>
      <c r="H4" s="23">
        <v>2400.0</v>
      </c>
      <c r="I4" s="72"/>
      <c r="J4" s="72"/>
      <c r="K4" s="72"/>
      <c r="L4" s="72"/>
      <c r="M4" s="72"/>
      <c r="N4" s="72"/>
      <c r="O4" s="72"/>
      <c r="P4" s="72"/>
      <c r="Q4" s="72"/>
      <c r="R4" s="72"/>
      <c r="S4" s="72"/>
      <c r="T4" s="72"/>
      <c r="U4" s="72">
        <f t="shared" si="1"/>
        <v>8000</v>
      </c>
      <c r="V4" s="47">
        <v>45171.0</v>
      </c>
    </row>
    <row r="5">
      <c r="A5" s="71">
        <v>3.0</v>
      </c>
      <c r="B5" s="71" t="s">
        <v>29</v>
      </c>
      <c r="C5" s="23">
        <v>800.0</v>
      </c>
      <c r="D5" s="23">
        <v>800.0</v>
      </c>
      <c r="E5" s="23">
        <v>800.0</v>
      </c>
      <c r="F5" s="23">
        <v>800.0</v>
      </c>
      <c r="G5" s="23">
        <v>2400.0</v>
      </c>
      <c r="H5" s="23">
        <v>2400.0</v>
      </c>
      <c r="I5" s="72"/>
      <c r="J5" s="72"/>
      <c r="K5" s="72"/>
      <c r="L5" s="72"/>
      <c r="M5" s="72"/>
      <c r="N5" s="72"/>
      <c r="O5" s="72"/>
      <c r="P5" s="72"/>
      <c r="Q5" s="72"/>
      <c r="R5" s="72"/>
      <c r="S5" s="72"/>
      <c r="T5" s="72"/>
      <c r="U5" s="72">
        <f t="shared" si="1"/>
        <v>8000</v>
      </c>
      <c r="V5" s="48">
        <v>45220.0</v>
      </c>
    </row>
    <row r="6">
      <c r="A6" s="71">
        <v>4.0</v>
      </c>
      <c r="B6" s="71" t="s">
        <v>34</v>
      </c>
      <c r="C6" s="72"/>
      <c r="D6" s="72"/>
      <c r="E6" s="72"/>
      <c r="F6" s="72"/>
      <c r="G6" s="72"/>
      <c r="H6" s="72"/>
      <c r="I6" s="72"/>
      <c r="J6" s="72"/>
      <c r="K6" s="72"/>
      <c r="L6" s="72"/>
      <c r="M6" s="72"/>
      <c r="N6" s="72"/>
      <c r="O6" s="72"/>
      <c r="P6" s="72"/>
      <c r="Q6" s="72"/>
      <c r="R6" s="72"/>
      <c r="S6" s="72"/>
      <c r="T6" s="72"/>
      <c r="U6" s="72">
        <f t="shared" si="1"/>
        <v>0</v>
      </c>
      <c r="V6" s="48">
        <v>45638.0</v>
      </c>
    </row>
    <row r="7">
      <c r="A7" s="71">
        <v>5.0</v>
      </c>
      <c r="B7" s="71">
        <v>2.01641002919E11</v>
      </c>
      <c r="C7" s="23">
        <v>4000.0</v>
      </c>
      <c r="D7" s="23">
        <v>4000.0</v>
      </c>
      <c r="E7" s="23">
        <v>4000.0</v>
      </c>
      <c r="F7" s="23">
        <v>4000.0</v>
      </c>
      <c r="G7" s="23">
        <v>2400.0</v>
      </c>
      <c r="H7" s="23">
        <v>2400.0</v>
      </c>
      <c r="I7" s="23">
        <v>2400.0</v>
      </c>
      <c r="J7" s="72"/>
      <c r="K7" s="72"/>
      <c r="L7" s="72"/>
      <c r="M7" s="72"/>
      <c r="N7" s="72"/>
      <c r="O7" s="72"/>
      <c r="P7" s="72"/>
      <c r="Q7" s="72"/>
      <c r="R7" s="72"/>
      <c r="S7" s="72"/>
      <c r="T7" s="72"/>
      <c r="U7" s="72">
        <f t="shared" si="1"/>
        <v>23200</v>
      </c>
      <c r="V7" s="48">
        <v>45684.0</v>
      </c>
    </row>
    <row r="8">
      <c r="A8" s="71">
        <v>6.0</v>
      </c>
      <c r="B8" s="71">
        <v>2.01641034228E11</v>
      </c>
      <c r="C8" s="23">
        <v>800.0</v>
      </c>
      <c r="D8" s="23">
        <v>800.0</v>
      </c>
      <c r="E8" s="23">
        <v>800.0</v>
      </c>
      <c r="F8" s="23">
        <v>800.0</v>
      </c>
      <c r="G8" s="23">
        <v>2400.0</v>
      </c>
      <c r="H8" s="23">
        <v>2400.0</v>
      </c>
      <c r="I8" s="72"/>
      <c r="J8" s="72"/>
      <c r="K8" s="72"/>
      <c r="L8" s="72"/>
      <c r="M8" s="72"/>
      <c r="N8" s="72"/>
      <c r="O8" s="72"/>
      <c r="P8" s="72"/>
      <c r="Q8" s="72"/>
      <c r="R8" s="72"/>
      <c r="S8" s="72"/>
      <c r="T8" s="72"/>
      <c r="U8" s="72">
        <f t="shared" si="1"/>
        <v>8000</v>
      </c>
      <c r="V8" s="47">
        <v>45571.0</v>
      </c>
    </row>
    <row r="9">
      <c r="A9" s="71">
        <v>7.0</v>
      </c>
      <c r="B9" s="71">
        <v>2.01641034226E11</v>
      </c>
      <c r="C9" s="72"/>
      <c r="D9" s="72"/>
      <c r="E9" s="72"/>
      <c r="F9" s="72"/>
      <c r="G9" s="72"/>
      <c r="H9" s="72"/>
      <c r="I9" s="72"/>
      <c r="J9" s="72"/>
      <c r="K9" s="72"/>
      <c r="L9" s="72"/>
      <c r="M9" s="72"/>
      <c r="N9" s="72"/>
      <c r="O9" s="72"/>
      <c r="P9" s="72"/>
      <c r="Q9" s="72"/>
      <c r="R9" s="72"/>
      <c r="S9" s="72"/>
      <c r="T9" s="72"/>
      <c r="U9" s="72">
        <f t="shared" si="1"/>
        <v>0</v>
      </c>
      <c r="V9" s="48">
        <v>45609.0</v>
      </c>
    </row>
    <row r="10">
      <c r="A10" s="71">
        <v>8.0</v>
      </c>
      <c r="B10" s="71">
        <v>2.01641034227E11</v>
      </c>
      <c r="C10" s="72"/>
      <c r="D10" s="72"/>
      <c r="E10" s="72"/>
      <c r="F10" s="72"/>
      <c r="G10" s="72"/>
      <c r="H10" s="72"/>
      <c r="I10" s="72"/>
      <c r="J10" s="72"/>
      <c r="K10" s="72"/>
      <c r="L10" s="72"/>
      <c r="M10" s="72"/>
      <c r="N10" s="72"/>
      <c r="O10" s="72"/>
      <c r="P10" s="72"/>
      <c r="Q10" s="72"/>
      <c r="R10" s="72"/>
      <c r="S10" s="72"/>
      <c r="T10" s="72"/>
      <c r="U10" s="72">
        <f t="shared" si="1"/>
        <v>0</v>
      </c>
      <c r="V10" s="48">
        <v>45622.0</v>
      </c>
    </row>
    <row r="11">
      <c r="A11" s="71">
        <v>9.0</v>
      </c>
      <c r="B11" s="71">
        <v>2.01841036078E11</v>
      </c>
      <c r="C11" s="23">
        <v>800.0</v>
      </c>
      <c r="D11" s="23">
        <v>800.0</v>
      </c>
      <c r="E11" s="23">
        <v>800.0</v>
      </c>
      <c r="F11" s="23">
        <v>800.0</v>
      </c>
      <c r="G11" s="23">
        <v>2400.0</v>
      </c>
      <c r="H11" s="72"/>
      <c r="I11" s="72"/>
      <c r="J11" s="72"/>
      <c r="K11" s="72"/>
      <c r="L11" s="72"/>
      <c r="M11" s="72"/>
      <c r="N11" s="72"/>
      <c r="O11" s="72"/>
      <c r="P11" s="72"/>
      <c r="Q11" s="72"/>
      <c r="R11" s="72"/>
      <c r="S11" s="72"/>
      <c r="T11" s="72"/>
      <c r="U11" s="72">
        <f t="shared" si="1"/>
        <v>5600</v>
      </c>
      <c r="V11" s="48">
        <v>45929.0</v>
      </c>
    </row>
    <row r="12">
      <c r="A12" s="71">
        <v>10.0</v>
      </c>
      <c r="B12" s="71">
        <v>2.01941038623E11</v>
      </c>
      <c r="C12" s="72"/>
      <c r="D12" s="72"/>
      <c r="E12" s="72"/>
      <c r="F12" s="72"/>
      <c r="G12" s="72"/>
      <c r="H12" s="72"/>
      <c r="I12" s="72"/>
      <c r="J12" s="72"/>
      <c r="K12" s="72"/>
      <c r="L12" s="72"/>
      <c r="M12" s="72"/>
      <c r="N12" s="72"/>
      <c r="O12" s="72"/>
      <c r="P12" s="72"/>
      <c r="Q12" s="72"/>
      <c r="R12" s="72"/>
      <c r="S12" s="72"/>
      <c r="T12" s="72"/>
      <c r="U12" s="72">
        <f t="shared" si="1"/>
        <v>0</v>
      </c>
      <c r="V12" s="48">
        <v>45647.0</v>
      </c>
    </row>
    <row r="13">
      <c r="A13" s="71">
        <v>11.0</v>
      </c>
      <c r="B13" s="71">
        <v>2.01941049309E11</v>
      </c>
      <c r="C13" s="72"/>
      <c r="D13" s="72"/>
      <c r="E13" s="72"/>
      <c r="F13" s="72"/>
      <c r="G13" s="72"/>
      <c r="H13" s="72"/>
      <c r="I13" s="72"/>
      <c r="J13" s="72"/>
      <c r="K13" s="72"/>
      <c r="L13" s="72"/>
      <c r="M13" s="72"/>
      <c r="N13" s="72"/>
      <c r="O13" s="72"/>
      <c r="P13" s="72"/>
      <c r="Q13" s="72"/>
      <c r="R13" s="72"/>
      <c r="S13" s="72"/>
      <c r="T13" s="72"/>
      <c r="U13" s="72">
        <f t="shared" si="1"/>
        <v>0</v>
      </c>
      <c r="V13" s="48">
        <v>45654.0</v>
      </c>
    </row>
    <row r="14">
      <c r="A14" s="71">
        <v>12.0</v>
      </c>
      <c r="B14" s="71">
        <v>2.02141022278E11</v>
      </c>
      <c r="C14" s="23">
        <v>800.0</v>
      </c>
      <c r="D14" s="23">
        <v>800.0</v>
      </c>
      <c r="E14" s="72"/>
      <c r="F14" s="72"/>
      <c r="G14" s="72"/>
      <c r="H14" s="72"/>
      <c r="I14" s="72"/>
      <c r="J14" s="72"/>
      <c r="K14" s="72"/>
      <c r="L14" s="72"/>
      <c r="M14" s="72"/>
      <c r="N14" s="72"/>
      <c r="O14" s="72"/>
      <c r="P14" s="72"/>
      <c r="Q14" s="72"/>
      <c r="R14" s="72"/>
      <c r="S14" s="72"/>
      <c r="T14" s="72"/>
      <c r="U14" s="72">
        <f t="shared" si="1"/>
        <v>1600</v>
      </c>
      <c r="V14" s="73">
        <v>45795.0</v>
      </c>
    </row>
    <row r="15">
      <c r="A15" s="71">
        <v>13.0</v>
      </c>
      <c r="B15" s="71">
        <v>2.02141055978E11</v>
      </c>
      <c r="C15" s="23">
        <v>800.0</v>
      </c>
      <c r="D15" s="72"/>
      <c r="E15" s="72"/>
      <c r="F15" s="72"/>
      <c r="G15" s="72"/>
      <c r="H15" s="72"/>
      <c r="I15" s="72"/>
      <c r="J15" s="72"/>
      <c r="K15" s="72"/>
      <c r="L15" s="72"/>
      <c r="M15" s="72"/>
      <c r="N15" s="72"/>
      <c r="O15" s="72"/>
      <c r="P15" s="72"/>
      <c r="Q15" s="72"/>
      <c r="R15" s="72"/>
      <c r="S15" s="72"/>
      <c r="T15" s="72"/>
      <c r="U15" s="72">
        <f t="shared" si="1"/>
        <v>800</v>
      </c>
      <c r="V15" s="47">
        <v>45628.0</v>
      </c>
    </row>
    <row r="16">
      <c r="A16" s="71">
        <v>14.0</v>
      </c>
      <c r="B16" s="71">
        <v>2.02241041436E11</v>
      </c>
      <c r="C16" s="23">
        <v>800.0</v>
      </c>
      <c r="D16" s="72"/>
      <c r="E16" s="72"/>
      <c r="F16" s="72"/>
      <c r="G16" s="72"/>
      <c r="H16" s="72"/>
      <c r="I16" s="72"/>
      <c r="J16" s="72"/>
      <c r="K16" s="72"/>
      <c r="L16" s="72"/>
      <c r="M16" s="72"/>
      <c r="N16" s="72"/>
      <c r="O16" s="72"/>
      <c r="P16" s="72"/>
      <c r="Q16" s="72"/>
      <c r="R16" s="72"/>
      <c r="S16" s="72"/>
      <c r="T16" s="72"/>
      <c r="U16" s="72">
        <f t="shared" si="1"/>
        <v>800</v>
      </c>
      <c r="V16" s="48">
        <v>45858.0</v>
      </c>
    </row>
    <row r="17">
      <c r="A17" s="71">
        <v>15.0</v>
      </c>
      <c r="B17" s="71">
        <v>2.02341010277E11</v>
      </c>
      <c r="C17" s="23">
        <v>800.0</v>
      </c>
      <c r="D17" s="72"/>
      <c r="E17" s="72"/>
      <c r="F17" s="72"/>
      <c r="G17" s="72"/>
      <c r="H17" s="72"/>
      <c r="I17" s="72"/>
      <c r="J17" s="72"/>
      <c r="K17" s="72"/>
      <c r="L17" s="72"/>
      <c r="M17" s="72"/>
      <c r="N17" s="72"/>
      <c r="O17" s="72"/>
      <c r="P17" s="72"/>
      <c r="Q17" s="72"/>
      <c r="R17" s="72"/>
      <c r="S17" s="72"/>
      <c r="T17" s="72"/>
      <c r="U17" s="72">
        <f t="shared" si="1"/>
        <v>800</v>
      </c>
      <c r="V17" s="48">
        <v>46068.0</v>
      </c>
    </row>
    <row r="19">
      <c r="E19" s="74" t="s">
        <v>196</v>
      </c>
      <c r="F19" s="2"/>
      <c r="G19" s="2"/>
      <c r="H19" s="2"/>
      <c r="I19" s="3"/>
      <c r="J19" s="75">
        <f>count(A3,A6:A17)</f>
        <v>13</v>
      </c>
      <c r="K19" s="3"/>
    </row>
    <row r="20">
      <c r="E20" s="74" t="s">
        <v>197</v>
      </c>
      <c r="F20" s="2"/>
      <c r="G20" s="2"/>
      <c r="H20" s="2"/>
      <c r="I20" s="3"/>
      <c r="J20" s="75">
        <f>SUM(U3:U17)</f>
        <v>69600</v>
      </c>
      <c r="K20" s="3"/>
    </row>
  </sheetData>
  <mergeCells count="7">
    <mergeCell ref="A1:A2"/>
    <mergeCell ref="B1:B2"/>
    <mergeCell ref="C1:V1"/>
    <mergeCell ref="E19:I19"/>
    <mergeCell ref="J19:K19"/>
    <mergeCell ref="E20:I20"/>
    <mergeCell ref="J20:K2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1.57"/>
    <col customWidth="1" min="2" max="2" width="40.43"/>
    <col customWidth="1" min="6" max="6" width="23.86"/>
  </cols>
  <sheetData>
    <row r="1">
      <c r="A1" s="76" t="s">
        <v>198</v>
      </c>
      <c r="B1" s="77" t="s">
        <v>199</v>
      </c>
    </row>
    <row r="2">
      <c r="A2" s="78" t="s">
        <v>200</v>
      </c>
      <c r="B2" s="27" t="s">
        <v>201</v>
      </c>
    </row>
    <row r="3">
      <c r="A3" s="78" t="s">
        <v>202</v>
      </c>
      <c r="B3" s="27" t="s">
        <v>203</v>
      </c>
    </row>
    <row r="4">
      <c r="A4" s="78" t="s">
        <v>19</v>
      </c>
      <c r="B4" s="27" t="s">
        <v>204</v>
      </c>
    </row>
    <row r="5">
      <c r="A5" s="78" t="s">
        <v>205</v>
      </c>
      <c r="B5" s="27" t="s">
        <v>206</v>
      </c>
    </row>
    <row r="6">
      <c r="A6" s="78" t="s">
        <v>104</v>
      </c>
      <c r="B6" s="27" t="s">
        <v>207</v>
      </c>
    </row>
    <row r="7">
      <c r="A7" s="78" t="s">
        <v>169</v>
      </c>
      <c r="B7" s="27" t="s">
        <v>208</v>
      </c>
    </row>
    <row r="8">
      <c r="A8" s="78" t="s">
        <v>69</v>
      </c>
      <c r="B8" s="27" t="s">
        <v>209</v>
      </c>
    </row>
    <row r="9">
      <c r="A9" s="78" t="s">
        <v>210</v>
      </c>
      <c r="B9" s="27" t="s">
        <v>211</v>
      </c>
    </row>
    <row r="10">
      <c r="A10" s="78" t="s">
        <v>99</v>
      </c>
      <c r="B10" s="27" t="s">
        <v>212</v>
      </c>
    </row>
    <row r="11">
      <c r="A11" s="78" t="s">
        <v>112</v>
      </c>
      <c r="B11" s="27" t="s">
        <v>213</v>
      </c>
    </row>
    <row r="12">
      <c r="A12" s="78" t="s">
        <v>90</v>
      </c>
      <c r="B12" s="27" t="s">
        <v>214</v>
      </c>
    </row>
    <row r="13">
      <c r="A13" s="37" t="s">
        <v>65</v>
      </c>
      <c r="B13" s="37" t="s">
        <v>215</v>
      </c>
    </row>
    <row r="14">
      <c r="A14" s="37" t="s">
        <v>163</v>
      </c>
      <c r="B14" s="37" t="s">
        <v>216</v>
      </c>
    </row>
    <row r="16">
      <c r="F16" s="79" t="s">
        <v>217</v>
      </c>
    </row>
    <row r="17">
      <c r="F17" s="80" t="s">
        <v>218</v>
      </c>
      <c r="G17" s="66"/>
      <c r="H17" s="67"/>
      <c r="I17" s="81"/>
      <c r="J17" s="82" t="s">
        <v>219</v>
      </c>
      <c r="K17" s="66"/>
      <c r="L17" s="67"/>
    </row>
    <row r="18">
      <c r="F18" s="83">
        <v>15.0</v>
      </c>
      <c r="G18" s="84"/>
      <c r="H18" s="85"/>
      <c r="I18" s="81"/>
      <c r="J18" s="86">
        <v>16.0</v>
      </c>
      <c r="K18" s="84"/>
      <c r="L18" s="85"/>
    </row>
    <row r="19">
      <c r="F19" s="87"/>
      <c r="H19" s="88"/>
      <c r="I19" s="81"/>
      <c r="J19" s="87"/>
      <c r="L19" s="88"/>
    </row>
    <row r="20">
      <c r="F20" s="81"/>
      <c r="G20" s="81"/>
      <c r="H20" s="81"/>
      <c r="I20" s="81"/>
      <c r="J20" s="81"/>
      <c r="K20" s="81"/>
      <c r="L20" s="81"/>
    </row>
    <row r="21">
      <c r="F21" s="89" t="s">
        <v>220</v>
      </c>
      <c r="G21" s="90">
        <v>2023.0</v>
      </c>
      <c r="H21" s="90">
        <v>2022.0</v>
      </c>
      <c r="I21" s="90">
        <v>2021.0</v>
      </c>
      <c r="J21" s="90">
        <v>2020.0</v>
      </c>
      <c r="K21" s="81"/>
      <c r="L21" s="81"/>
    </row>
    <row r="22">
      <c r="F22" s="91" t="s">
        <v>221</v>
      </c>
      <c r="G22" s="92">
        <v>3.0</v>
      </c>
      <c r="H22" s="92">
        <v>1.0</v>
      </c>
      <c r="I22" s="92">
        <v>5.0</v>
      </c>
      <c r="J22" s="92">
        <v>3.0</v>
      </c>
      <c r="K22" s="81"/>
      <c r="L22" s="81"/>
    </row>
    <row r="23">
      <c r="F23" s="91" t="s">
        <v>222</v>
      </c>
      <c r="G23" s="92">
        <v>1.0</v>
      </c>
      <c r="H23" s="92">
        <v>2.0</v>
      </c>
      <c r="I23" s="92">
        <v>3.0</v>
      </c>
      <c r="J23" s="92">
        <v>2.0</v>
      </c>
      <c r="K23" s="81"/>
      <c r="L23" s="81"/>
    </row>
    <row r="25">
      <c r="F25" s="93" t="s">
        <v>223</v>
      </c>
    </row>
  </sheetData>
  <mergeCells count="5">
    <mergeCell ref="F16:L16"/>
    <mergeCell ref="F17:H17"/>
    <mergeCell ref="J17:L17"/>
    <mergeCell ref="F18:H19"/>
    <mergeCell ref="J18:L19"/>
  </mergeCells>
  <drawing r:id="rId1"/>
</worksheet>
</file>